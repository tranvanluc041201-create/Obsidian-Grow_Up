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01_功能单位与情景" sheetId="1" r:id="rId1"/>
    <sheet name="02_活动数据输入" sheetId="2" r:id="rId2"/>
    <sheet name="03_排放因子库" sheetId="3" r:id="rId3"/>
    <sheet name="04_计算过程" sheetId="4" r:id="rId4"/>
    <sheet name="05_结果汇总" sheetId="5" r:id="rId5"/>
    <sheet name="06_数据来源留痕" sheetId="6" r:id="rId6"/>
    <sheet name="07_敏感性分析" sheetId="7" r:id="rId7"/>
    <sheet name="08_纸张因子证据" sheetId="8" r:id="rId8"/>
    <sheet name="META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<sst xmlns="http://schemas.openxmlformats.org/spreadsheetml/2006/main" count="454" uniqueCount="323">
  <si>
    <t>01_功能单位与情景</t>
  </si>
  <si>
    <t>功能单位定义</t>
  </si>
  <si>
    <t>功能单位描述</t>
  </si>
  <si>
    <t>1000张A4双面四色宣传单（157g铜版纸，单页，成品质量要求一致）</t>
  </si>
  <si>
    <t>功能单位数量</t>
  </si>
  <si>
    <t>张</t>
  </si>
  <si>
    <t>情景定义</t>
  </si>
  <si>
    <t>场景编号</t>
  </si>
  <si>
    <t>场景名称</t>
  </si>
  <si>
    <t>工艺类型</t>
  </si>
  <si>
    <t>产量(张)</t>
  </si>
  <si>
    <t>批次特征</t>
  </si>
  <si>
    <t>备注</t>
  </si>
  <si>
    <t>S1</t>
  </si>
  <si>
    <t>小批量印刷</t>
  </si>
  <si>
    <t>数字印刷</t>
  </si>
  <si>
    <t>短版、个性化</t>
  </si>
  <si>
    <t>本MVP目标</t>
  </si>
  <si>
    <t>胶印</t>
  </si>
  <si>
    <t>传统制版印刷</t>
  </si>
  <si>
    <t>对比基准</t>
  </si>
  <si>
    <t>控制项（用于敏感性分析）</t>
  </si>
  <si>
    <t>纸张因子选择（主线/中国）</t>
  </si>
  <si>
    <t>主线</t>
  </si>
  <si>
    <t>填“主线”=使用B7(1.29)；填“中国”=使用B8(1.49)</t>
  </si>
  <si>
    <t>电耗数据来源（估算/实测）</t>
  </si>
  <si>
    <t>估算</t>
  </si>
  <si>
    <t>填“估算”使用占位值；填“实测/手册”优先使用实测/手册值（若未填则回退占位）</t>
  </si>
  <si>
    <t>02_活动数据输入</t>
  </si>
  <si>
    <t>场景S1 - 活动数据清单</t>
  </si>
  <si>
    <t>纸张消耗(kg)</t>
  </si>
  <si>
    <t>电耗(kWh)</t>
  </si>
  <si>
    <t>油墨/墨粉(kg)</t>
  </si>
  <si>
    <t>版材消耗(张)</t>
  </si>
  <si>
    <t>废品率</t>
  </si>
  <si>
    <t>数据来源</t>
  </si>
  <si>
    <t>待补/需人工核验</t>
  </si>
  <si>
    <t>文献换算（VTT 2010）</t>
  </si>
  <si>
    <t>文献区间换算：电摄影印刷能耗 590–650 kWh/tonne；按纸张消耗9.89 kg/1000张折算 =&gt; 6.13 kWh/1000张（中值）。</t>
  </si>
  <si>
    <t>文献区间换算：平张胶印能耗 800–1040 kWh/tonne；按纸张消耗10.58 kg/1000张折算 =&gt; 9.73 kWh/1000张（中值）。</t>
  </si>
  <si>
    <t>计算说明：</t>
  </si>
  <si>
    <t>1. 纸张消耗 = 产量 × 单张克重 × (1 + 废品率)</t>
  </si>
  <si>
    <t>2. 实际产量 = 订单量 / (1 - 废品率)</t>
  </si>
  <si>
    <t>电耗数据（kWh/1000张）</t>
  </si>
  <si>
    <t>数字印刷_文献换算（VTT 2010 Table 4，Electrophotography）</t>
  </si>
  <si>
    <t>胶印_文献换算（VTT 2010 Table 4，Sheetfed offset）</t>
  </si>
  <si>
    <t>数字印刷_实测/手册</t>
  </si>
  <si>
    <t>胶印_实测/手册</t>
  </si>
  <si>
    <t>03_排放因子库</t>
  </si>
  <si>
    <t>排放因子清单</t>
  </si>
  <si>
    <t>纸张排放因子_当前（自动）</t>
  </si>
  <si>
    <t>kgCO2e/kg</t>
  </si>
  <si>
    <t>自动选择（主线/中国）</t>
  </si>
  <si>
    <t>用于纸张项</t>
  </si>
  <si>
    <t>切换01表B13即可做敏感性（不改其他公式）</t>
  </si>
  <si>
    <t>因子名称</t>
  </si>
  <si>
    <t>因子值</t>
  </si>
  <si>
    <t>单位</t>
  </si>
  <si>
    <t>来源</t>
  </si>
  <si>
    <t>年份</t>
  </si>
  <si>
    <t>适用范围</t>
  </si>
  <si>
    <t>电力排放因子</t>
  </si>
  <si>
    <t>kgCO2e/kWh</t>
  </si>
  <si>
    <t>生态环境部等《公告2025年第19号》附件（2024年全国电力平均碳足迹因子）</t>
  </si>
  <si>
    <t>中国电网平均</t>
  </si>
  <si>
    <t>纸张排放因子</t>
  </si>
  <si>
    <t>待核验：当前使用值1.29（需补充权威cradle-to-gate来源；作为基线值保留）</t>
  </si>
  <si>
    <t>v3.10</t>
  </si>
  <si>
    <t>欧洲RER / 全球参考</t>
  </si>
  <si>
    <t>主线值：国际通用基准，置信度极高；敏感性分析备选值：1.49(APP中国)</t>
  </si>
  <si>
    <t>纸张排放因子_中国备选</t>
  </si>
  <si>
    <t>待核验：当前使用值1.49（需补充权威中国情境来源；仅用于敏感性）</t>
  </si>
  <si>
    <t>2007-2009</t>
  </si>
  <si>
    <t>中国本土化</t>
  </si>
  <si>
    <t>敏感性分析备选值，反映中国高煤电占比能源结构</t>
  </si>
  <si>
    <t>数字印刷墨粉排放因子</t>
  </si>
  <si>
    <t>对应04_计算过程!F8（数字印刷墨粉）</t>
  </si>
  <si>
    <t>胶印油墨排放因子</t>
  </si>
  <si>
    <t>对应04_计算过程!F13（胶印油墨）</t>
  </si>
  <si>
    <t>胶印版材排放因子</t>
  </si>
  <si>
    <t>kgCO2e/张</t>
  </si>
  <si>
    <t>对应04_计算过程!F14（胶印版材）</t>
  </si>
  <si>
    <t>数字印刷设备制造排放（寿命分摊，预留）</t>
  </si>
  <si>
    <t>待补/非当前阶段</t>
  </si>
  <si>
    <t>kgCO2e/台</t>
  </si>
  <si>
    <t>非S1 MVP必需</t>
  </si>
  <si>
    <t>胶印设备制造排放（寿命分摊，预留）</t>
  </si>
  <si>
    <t>纸张排放因子_Two Sides（Coated Free/CWF）</t>
  </si>
  <si>
    <t>Two Sides North America《Printing &amp; Writing Papers LCA Summary Report》Coated Free=1469 kgCO2eq/short ton，折算=1.619</t>
  </si>
  <si>
    <t>1. 电力因子采用生态环境部最新发布值</t>
  </si>
  <si>
    <t>2. 其他因子优先采用Ecoinvent数据库，其次文献</t>
  </si>
  <si>
    <t>04_计算过程</t>
  </si>
  <si>
    <t>碳足迹计算明细（公式追踪）</t>
  </si>
  <si>
    <t>场景</t>
  </si>
  <si>
    <t>工艺</t>
  </si>
  <si>
    <t>排放源</t>
  </si>
  <si>
    <t>活动数据</t>
  </si>
  <si>
    <t>×</t>
  </si>
  <si>
    <t>排放因子</t>
  </si>
  <si>
    <t>=</t>
  </si>
  <si>
    <t>排放量(kgCO2e)</t>
  </si>
  <si>
    <t>占比</t>
  </si>
  <si>
    <t>纸张</t>
  </si>
  <si>
    <t>=H6*J6</t>
  </si>
  <si>
    <t>电力</t>
  </si>
  <si>
    <t>=H7*J7</t>
  </si>
  <si>
    <t>墨粉</t>
  </si>
  <si>
    <t>=H8*J8</t>
  </si>
  <si>
    <t>版材</t>
  </si>
  <si>
    <t>0%</t>
  </si>
  <si>
    <t>免版材</t>
  </si>
  <si>
    <t>=H11*J11</t>
  </si>
  <si>
    <t>=H12*J12</t>
  </si>
  <si>
    <t>油墨</t>
  </si>
  <si>
    <t>=H13*J13</t>
  </si>
  <si>
    <t>=H14*J14</t>
  </si>
  <si>
    <t>计算逻辑说明：</t>
  </si>
  <si>
    <t>1. 排放量 = 活动数据 × 排放因子</t>
  </si>
  <si>
    <t>2. 纸张活动数据已含废品率调整</t>
  </si>
  <si>
    <t>3. 所有公式引用上游sheet，可追踪</t>
  </si>
  <si>
    <t>05_结果汇总</t>
  </si>
  <si>
    <t>场景S1 碳足迹对比结果</t>
  </si>
  <si>
    <t>功能单位</t>
  </si>
  <si>
    <t>碳足迹(kgCO2e)</t>
  </si>
  <si>
    <t>单位碳足迹(gCO2e/张)</t>
  </si>
  <si>
    <t>主要排放源</t>
  </si>
  <si>
    <t>1000张A4</t>
  </si>
  <si>
    <t>电力/纸张</t>
  </si>
  <si>
    <t>V2-纸张+电力（电耗占位可替换）</t>
  </si>
  <si>
    <t>电耗为文献区间折算占位（VTT Table 4→kWh/1000张）；纸张+电力V2；缺失项按0并在正文披露。</t>
  </si>
  <si>
    <t>纸张/电力/版材</t>
  </si>
  <si>
    <t>对比结论（待数据补全后生成）</t>
  </si>
  <si>
    <t>对比结论（基于当前活动数据与因子；缺失项未纳入）</t>
  </si>
  <si>
    <t>指标</t>
  </si>
  <si>
    <t>差值</t>
  </si>
  <si>
    <t>结论</t>
  </si>
  <si>
    <t>=E6</t>
  </si>
  <si>
    <t>=E7</t>
  </si>
  <si>
    <t>=B12-C12</t>
  </si>
  <si>
    <t>总碳足迹(kgCO2e)</t>
  </si>
  <si>
    <t>=D6</t>
  </si>
  <si>
    <t>=D7</t>
  </si>
  <si>
    <t>=B13-C13</t>
  </si>
  <si>
    <t>注：当前结果为公式框架，需补全活动数据后计算得出实际数值</t>
  </si>
  <si>
    <t>06_数据来源留痕</t>
  </si>
  <si>
    <t>数据项</t>
  </si>
  <si>
    <t>数值/状态</t>
  </si>
  <si>
    <t>来源类型</t>
  </si>
  <si>
    <t>具体来源</t>
  </si>
  <si>
    <t>获取日期</t>
  </si>
  <si>
    <t>可信度</t>
  </si>
  <si>
    <t>标准</t>
  </si>
  <si>
    <t>ISO 16759</t>
  </si>
  <si>
    <t>2026-02-23</t>
  </si>
  <si>
    <t>高</t>
  </si>
  <si>
    <t>已锁定</t>
  </si>
  <si>
    <t>官方</t>
  </si>
  <si>
    <t>生态环境部等《公告2025年第19号》附件PDF《2024年全国电力碳足迹因子》（全国平均0.5777 kgCO2e/kWh）</t>
  </si>
  <si>
    <t>2026-02-27</t>
  </si>
  <si>
    <t>数字印刷-纸张消耗</t>
  </si>
  <si>
    <t>待补</t>
  </si>
  <si>
    <t>需实测或文献</t>
  </si>
  <si>
    <t>数字印刷-电耗</t>
  </si>
  <si>
    <t>文献区间+折算（按吨→按功能单位）</t>
  </si>
  <si>
    <t>VTT Research Notes 2560 (Pihkola et al., 2010) Table 4: electrophotography energy consumption 590–650 kWh/tonne printed products; converted using FU paper mass.</t>
  </si>
  <si>
    <t>2026-02-26</t>
  </si>
  <si>
    <t>中（公开手册+折算；建议实测替换）</t>
  </si>
  <si>
    <t>需设备参数</t>
  </si>
  <si>
    <t>数字印刷-墨粉消耗</t>
  </si>
  <si>
    <t>需实测</t>
  </si>
  <si>
    <t>胶印-纸张消耗</t>
  </si>
  <si>
    <t>胶印-电耗</t>
  </si>
  <si>
    <t>VTT Research Notes 2560 (Pihkola et al., 2010) Table 4: sheetfed offset energy consumption 800–1040 kWh/tonne printed products; converted using FU paper mass.</t>
  </si>
  <si>
    <t>中（文献汇总/范围；建议用设备手册或实测替换）</t>
  </si>
  <si>
    <t>胶印-油墨消耗</t>
  </si>
  <si>
    <t>胶印-版材消耗</t>
  </si>
  <si>
    <t>需数据库/文献</t>
  </si>
  <si>
    <t>油墨/墨粉排放因子</t>
  </si>
  <si>
    <t>版材排放因子</t>
  </si>
  <si>
    <t>电力CO2因子（区域/省级）</t>
  </si>
  <si>
    <t>见07_敏感性分析</t>
  </si>
  <si>
    <t>生态环境部、国家统计局《公告2025年第47号》附件PDF《2023年电力二氧化碳排放因子》（全国/区域/省级，kgCO2/kWh）</t>
  </si>
  <si>
    <t>07_敏感性分析（模板）</t>
  </si>
  <si>
    <t>输入（自动引用主模型）</t>
  </si>
  <si>
    <t>数字印刷电耗(kWh/1000张)</t>
  </si>
  <si>
    <t>胶印电耗(kWh/1000张)</t>
  </si>
  <si>
    <t>数字印刷纸张消耗(kg/1000张)</t>
  </si>
  <si>
    <t>胶印纸张消耗(kg/1000张)</t>
  </si>
  <si>
    <t>纸张因子（主线 vs 中国备选）</t>
  </si>
  <si>
    <t>纸张因子_主线</t>
  </si>
  <si>
    <t>纸张因子_中国备选</t>
  </si>
  <si>
    <t>纸张因子_Two Sides(CWF)</t>
  </si>
  <si>
    <t>电力因子（主线CFP + CO2口径敏感性）</t>
  </si>
  <si>
    <t>CFP全国电力平均碳足迹因子(2024, kgCO2e/kWh)</t>
  </si>
  <si>
    <t>区域(用于CO2敏感性)</t>
  </si>
  <si>
    <t>因子(kgCO2/kWh)</t>
  </si>
  <si>
    <t>CO2全国电力平均排放因子(2023, kgCO2/kWh)</t>
  </si>
  <si>
    <t>华北</t>
  </si>
  <si>
    <t>东北</t>
  </si>
  <si>
    <t>CO2区域选择</t>
  </si>
  <si>
    <t>华东</t>
  </si>
  <si>
    <t>CO2区域因子(kgCO2/kWh)</t>
  </si>
  <si>
    <t>华中</t>
  </si>
  <si>
    <t>西北</t>
  </si>
  <si>
    <t>CO2省级选择</t>
  </si>
  <si>
    <t>四川</t>
  </si>
  <si>
    <t>南方</t>
  </si>
  <si>
    <t>CO2省级因子(kgCO2/kWh)</t>
  </si>
  <si>
    <t>西南</t>
  </si>
  <si>
    <t>省份(用于CO2敏感性)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</si>
  <si>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</si>
  <si>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</si>
  <si>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</si>
  <si>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</si>
  <si>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</si>
  <si>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</si>
  <si>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</si>
  <si>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</si>
  <si>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</si>
  <si>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</si>
  <si>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</si>
  <si>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电耗文献区间（VTT 2010 Table 4，kWh/tonne）</t>
  </si>
  <si>
    <t>安徽</t>
  </si>
  <si>
    <t>数字印刷（电摄影）kWh/tonne</t>
  </si>
  <si>
    <t>590–650</t>
  </si>
  <si>
    <t>福建</t>
  </si>
  <si>
    <t>胶印（平张胶印）kWh/tonne</t>
  </si>
  <si>
    <t>800–1040</t>
  </si>
  <si>
    <t>江西</t>
  </si>
  <si>
    <t>山东</t>
  </si>
  <si>
    <t>按功能单位折算（中值）kWh/1000张</t>
  </si>
  <si>
    <t>河南</t>
  </si>
  <si>
    <t>数字印刷（中值）</t>
  </si>
  <si>
    <t>湖北</t>
  </si>
  <si>
    <t>胶印（中值）</t>
  </si>
  <si>
    <t>湖南</t>
  </si>
  <si>
    <t>广东</t>
  </si>
  <si>
    <t>广西</t>
  </si>
  <si>
    <t>海南</t>
  </si>
  <si>
    <t>重庆</t>
  </si>
  <si>
    <t>贵州</t>
  </si>
  <si>
    <t>云南</t>
  </si>
  <si>
    <t>陕西</t>
  </si>
  <si>
    <t>甘肃</t>
  </si>
  <si>
    <t>青海</t>
  </si>
  <si>
    <t>宁夏</t>
  </si>
  <si>
    <t>新疆</t>
  </si>
  <si>
    <t>结果（kgCO2e/1000张）——纸张因子敏感性（电力因子用CFP主线）</t>
  </si>
  <si>
    <t>纸张因子</t>
  </si>
  <si>
    <t>纸张排放</t>
  </si>
  <si>
    <t>电力排放</t>
  </si>
  <si>
    <t>合计</t>
  </si>
  <si>
    <t>注：CO2口径区域/省级因子用于敏感性对照（kgCO2/kWh），不等同于CFP/CO2e口径。</t>
  </si>
  <si>
    <t>阈值分析（V2边界：纸张+电力；用于答辩解释“结论是否可能反转”）</t>
  </si>
  <si>
    <t>说明</t>
  </si>
  <si>
    <t>当ΔCF=0时，胶印电耗阈值 kWh_offset* = kWh_digital − (Δm×EF_paper)/EF_elec。Δm=胶印纸张-数字纸张。</t>
  </si>
  <si>
    <t>输入引用</t>
  </si>
  <si>
    <t>Δm(kg/1000张)</t>
  </si>
  <si>
    <t>kWh_digital</t>
  </si>
  <si>
    <t>EF_elec (CFP)</t>
  </si>
  <si>
    <t>纸张因子情景</t>
  </si>
  <si>
    <t>EF_paper</t>
  </si>
  <si>
    <t>kWh_offset* (kWh/1000张)</t>
  </si>
  <si>
    <t>主线(1.29)</t>
  </si>
  <si>
    <t>中国备选(1.49)</t>
  </si>
  <si>
    <t>Two Sides CWF(1.619)</t>
  </si>
  <si>
    <t>纸张排放因子证据与换算（用于157g铜版纸/涂布印刷纸）</t>
  </si>
  <si>
    <t>说明：</t>
  </si>
  <si>
    <t>- 边界：优先使用 cradle-to-gate / A1-A3（上游材料）口径；若来源为仅能源/仅CO2，则必须标注。
- 本表不强制改动主线口径；用于把Gemini调研结论落到可追溯证据与可复算换算。</t>
  </si>
  <si>
    <t>证据源1：Two Sides North America（Cradle-to-Gate industry average, per bone-dry short ton）</t>
  </si>
  <si>
    <t>https://twosidesna.org/wp-content/uploads/sites/16/2018/05/Printing_and_Writing_Papers_-_Life-Cycle_Assessment_Summary_Report.pdf</t>
  </si>
  <si>
    <t>纸种（报告分类）</t>
  </si>
  <si>
    <t>GWP（kg CO2 eq / bone-dry short ton）</t>
  </si>
  <si>
    <t>换算</t>
  </si>
  <si>
    <t>短吨(kg)</t>
  </si>
  <si>
    <t>折算后因子(kgCO2e/kg)</t>
  </si>
  <si>
    <t>适用映射</t>
  </si>
  <si>
    <t>Uncoated Free</t>
  </si>
  <si>
    <t>GWP/short_ton_kg</t>
  </si>
  <si>
    <t>报告给出cradle-to-gate industry average</t>
  </si>
  <si>
    <t>对照：非涂布自由纸</t>
  </si>
  <si>
    <t>Coated Free</t>
  </si>
  <si>
    <t>近似：涂布不含磨木浆纸(CWF)/铜版纸</t>
  </si>
  <si>
    <t>Uncoated Mechanical</t>
  </si>
  <si>
    <t/>
  </si>
  <si>
    <t>对照：非涂布机械纸</t>
  </si>
  <si>
    <t>Coated Mechanical</t>
  </si>
  <si>
    <t>对照：涂布机械纸</t>
  </si>
  <si>
    <t>推荐候选（对应铜版纸/CWF）：Coated Free 折算因子</t>
  </si>
  <si>
    <t>证据源2：BioResources (Tomberlin et al., 2020)（US 252 mills, cradle-to-gate）</t>
  </si>
  <si>
    <t>https://bioresources.cnr.ncsu.edu/wp-content/uploads/2020/04/BioRes_15_2_3899_Tomberlin_VY_Life_Cycle_C_Footprint_Pulp_Paper_Grades_US_Prodn_16450.pdf</t>
  </si>
  <si>
    <t>原文数值（kg CO2eq / metric ton）</t>
  </si>
  <si>
    <t>生产加权平均（跨纸种）</t>
  </si>
  <si>
    <t>US总体（跨纸种）</t>
  </si>
  <si>
    <t>用于量级对照；非专指涂布纸</t>
  </si>
  <si>
    <t>纸种间范围（最小-最大）</t>
  </si>
  <si>
    <t>608–1978</t>
  </si>
  <si>
    <t>0.608–1.978（由metric ton换算）</t>
  </si>
  <si>
    <t>原文给出范围</t>
  </si>
  <si>
    <t>证据源3：Vos &amp; Newell (2009)（CO2 only，embedded energy in manufacturing, per finished metric ton）</t>
  </si>
  <si>
    <t>https://urbansustainability.seas.umich.edu/wp-content/uploads/2014/08/2009_Vos-and-Newell_A-Comparative-Analysis-of-Carbon-Dioxide-Emissions-in-Coated-Paper-Production.pdf</t>
  </si>
  <si>
    <t>供应链/地区</t>
  </si>
  <si>
    <t>原文数值（kg CO2 / FMT）</t>
  </si>
  <si>
    <t>折算后(kgCO2/kg)</t>
  </si>
  <si>
    <t>口径限制</t>
  </si>
  <si>
    <t>U.S. (NewPage)</t>
  </si>
  <si>
    <t>仅CO2；仅制造嵌入能源；不含化学品/涂料等</t>
  </si>
  <si>
    <t>可用于‘中国 vs 美国’能碳强度差异论证</t>
  </si>
  <si>
    <t>China industry</t>
  </si>
  <si>
    <t>同上</t>
  </si>
  <si>
    <t>历史研究（2009），需注明时效性</t>
  </si>
  <si>
    <t>将纸张因子应用到本研究功能单位（仅纸张项，kgCO2e/1000张）</t>
  </si>
  <si>
    <t>纸张消耗(kg/1000张)</t>
  </si>
  <si>
    <t>使用因子（1.29）纸张排放</t>
  </si>
  <si>
    <t>使用因子（1.49）纸张排放</t>
  </si>
  <si>
    <t>使用因子（TwoSides CWF 1.619）纸张排放</t>
  </si>
  <si>
    <t>TwoSides=Coated Free(涂布自由纸)因子</t>
  </si>
  <si>
    <t>MASTER版本</t>
  </si>
  <si>
    <t>MASTER_r13</t>
  </si>
  <si>
    <t>基于</t>
  </si>
  <si>
    <t>碳足迹核算模型_MASTER_r10.xlsx</t>
  </si>
  <si>
    <t>变更</t>
  </si>
  <si>
    <t>正文推进：对齐第4章r12阈值表达；在07_敏感性分析新增阈值计算区（纸张因子1.29/1.49/1.619）；其余口径不变。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</si>
</sst>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"/>
    <numFmt numFmtId="179" formatCode="0.000"/>
  </numFmts>
  <fonts count="23">
    <font>
      <sz val="12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9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A1" sqref="A1"/>
    </sheetView>
  </sheetViews>
  <sheetFormatPr defaultColWidth="9" defaultRowHeight="15" outlineLevelCol="5"/>
  <sheetData>
    <row r="1" spans="1:6">
      <c r="A1" t="s">
        <v>0</v>
      </c>
    </row>
    <row r="3" spans="1:6">
      <c r="A3" t="s">
        <v>1</v>
      </c>
    </row>
    <row r="4" spans="1:6">
      <c r="A4" t="s">
        <v>2</v>
      </c>
      <c r="B4" t="s">
        <v>3</v>
      </c>
    </row>
    <row r="5" spans="1:6">
      <c r="A5" t="s">
        <v>4</v>
      </c>
      <c r="B5">
        <v>1000</v>
      </c>
      <c r="C5" t="s">
        <v>5</v>
      </c>
    </row>
    <row r="7" spans="1:6">
      <c r="A7" t="s">
        <v>6</v>
      </c>
    </row>
    <row r="8" spans="1:6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>
      <c r="A9" t="s">
        <v>13</v>
      </c>
      <c r="B9" t="s">
        <v>14</v>
      </c>
      <c r="C9" t="s">
        <v>15</v>
      </c>
      <c r="D9">
        <v>1000</v>
      </c>
      <c r="E9" t="s">
        <v>16</v>
      </c>
      <c r="F9" t="s">
        <v>17</v>
      </c>
    </row>
    <row r="10" spans="1:6">
      <c r="A10" t="s">
        <v>13</v>
      </c>
      <c r="B10" t="s">
        <v>14</v>
      </c>
      <c r="C10" t="s">
        <v>18</v>
      </c>
      <c r="D10">
        <v>1000</v>
      </c>
      <c r="E10" t="s">
        <v>19</v>
      </c>
      <c r="F10" t="s">
        <v>20</v>
      </c>
    </row>
    <row r="12" spans="1:6">
      <c r="A12" t="s">
        <v>21</v>
      </c>
    </row>
    <row r="13" spans="1:6">
      <c r="A13" t="s">
        <v>22</v>
      </c>
      <c r="B13" t="s">
        <v>23</v>
      </c>
      <c r="C13" t="s">
        <v>24</v>
      </c>
    </row>
    <row r="14" spans="1:6">
      <c r="A14" t="s">
        <v>25</v>
      </c>
      <c r="B14" t="s">
        <v>26</v>
      </c>
      <c r="C14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5"/>
  <sheetData>
    <row r="1" spans="1:10">
      <c r="A1" t="s">
        <v>28</v>
      </c>
    </row>
    <row r="3" spans="1:10">
      <c r="A3" t="s">
        <v>29</v>
      </c>
    </row>
    <row r="5" spans="1:10">
      <c r="A5" t="s">
        <v>7</v>
      </c>
      <c r="B5" t="s">
        <v>9</v>
      </c>
      <c r="C5" t="s">
        <v>10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12</v>
      </c>
    </row>
    <row r="6" spans="1:10">
      <c r="A6" t="s">
        <v>13</v>
      </c>
      <c r="B6" t="s">
        <v>15</v>
      </c>
      <c r="C6">
        <v>1000</v>
      </c>
      <c r="D6">
        <v>9.89</v>
      </c>
      <c r="E6">
        <f>IF('01_功能单位与情景'!$B$14="实测/手册",IF(ISNUMBER($C$16),$C$16,$C$14),$C$14)</f>
        <v>6.13</v>
      </c>
      <c r="F6" t="s">
        <v>36</v>
      </c>
      <c r="G6">
        <v>0</v>
      </c>
      <c r="H6">
        <v>0.01</v>
      </c>
      <c r="I6" t="s">
        <v>37</v>
      </c>
      <c r="J6" t="s">
        <v>38</v>
      </c>
    </row>
    <row r="7" spans="1:10">
      <c r="A7" t="s">
        <v>13</v>
      </c>
      <c r="B7" t="s">
        <v>18</v>
      </c>
      <c r="C7">
        <v>1000</v>
      </c>
      <c r="D7">
        <v>10.58</v>
      </c>
      <c r="E7">
        <f>IF('01_功能单位与情景'!$B$14="实测/手册",IF(ISNUMBER($C$17),$C$17,$C$15),$C$15)</f>
        <v>9.73</v>
      </c>
      <c r="F7" t="s">
        <v>36</v>
      </c>
      <c r="G7" t="s">
        <v>36</v>
      </c>
      <c r="H7">
        <v>0.08</v>
      </c>
      <c r="I7" t="s">
        <v>37</v>
      </c>
      <c r="J7" t="s">
        <v>39</v>
      </c>
    </row>
    <row r="9" spans="1:10">
      <c r="A9" t="s">
        <v>40</v>
      </c>
    </row>
    <row r="10" spans="1:10">
      <c r="A10" t="s">
        <v>41</v>
      </c>
    </row>
    <row r="11" spans="1:10">
      <c r="A11" t="s">
        <v>42</v>
      </c>
    </row>
    <row r="13" spans="1:10">
      <c r="A13" t="s">
        <v>43</v>
      </c>
    </row>
    <row r="14" spans="1:10">
      <c r="B14" t="s">
        <v>44</v>
      </c>
      <c r="C14">
        <v>6.13</v>
      </c>
    </row>
    <row r="15" spans="1:10">
      <c r="B15" t="s">
        <v>45</v>
      </c>
      <c r="C15">
        <v>9.73</v>
      </c>
    </row>
    <row r="16" spans="1:10">
      <c r="B16" t="s">
        <v>46</v>
      </c>
      <c r="C16" t="s">
        <v>36</v>
      </c>
    </row>
    <row r="17" spans="2:3">
      <c r="B17" t="s">
        <v>47</v>
      </c>
      <c r="C17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5" outlineLevelCol="6"/>
  <sheetData>
    <row r="1" spans="1:7">
      <c r="A1" t="s">
        <v>48</v>
      </c>
    </row>
    <row r="3" spans="1:7">
      <c r="A3" t="s">
        <v>49</v>
      </c>
    </row>
    <row r="4" spans="1:7">
      <c r="A4" t="s">
        <v>50</v>
      </c>
      <c r="B4">
        <f>IF('01_功能单位与情景'!B13="中国",B8,B7)</f>
        <v>1.29</v>
      </c>
      <c r="C4" t="s">
        <v>51</v>
      </c>
      <c r="D4" t="s">
        <v>52</v>
      </c>
      <c r="F4" t="s">
        <v>53</v>
      </c>
      <c r="G4" t="s">
        <v>54</v>
      </c>
    </row>
    <row r="5" spans="1: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12</v>
      </c>
    </row>
    <row r="6" spans="1:7">
      <c r="A6" t="s">
        <v>61</v>
      </c>
      <c r="B6">
        <v>0.5777</v>
      </c>
      <c r="C6" t="s">
        <v>62</v>
      </c>
      <c r="D6" t="s">
        <v>63</v>
      </c>
      <c r="E6">
        <v>2024</v>
      </c>
      <c r="F6" t="s">
        <v>64</v>
      </c>
    </row>
    <row r="7" spans="1:7">
      <c r="A7" t="s">
        <v>65</v>
      </c>
      <c r="B7">
        <v>1.29</v>
      </c>
      <c r="C7" t="s">
        <v>51</v>
      </c>
      <c r="D7" t="s">
        <v>66</v>
      </c>
      <c r="E7" t="s">
        <v>67</v>
      </c>
      <c r="F7" t="s">
        <v>68</v>
      </c>
      <c r="G7" t="s">
        <v>69</v>
      </c>
    </row>
    <row r="8" spans="1:7">
      <c r="A8" t="s">
        <v>70</v>
      </c>
      <c r="B8">
        <v>1.49</v>
      </c>
      <c r="C8" t="s">
        <v>51</v>
      </c>
      <c r="D8" t="s">
        <v>71</v>
      </c>
      <c r="E8" t="s">
        <v>72</v>
      </c>
      <c r="F8" t="s">
        <v>73</v>
      </c>
      <c r="G8" t="s">
        <v>74</v>
      </c>
    </row>
    <row r="9" spans="1:7">
      <c r="A9" t="s">
        <v>75</v>
      </c>
      <c r="B9" t="s">
        <v>36</v>
      </c>
      <c r="C9" t="s">
        <v>51</v>
      </c>
      <c r="G9" t="s">
        <v>76</v>
      </c>
    </row>
    <row r="10" spans="1:7">
      <c r="A10" t="s">
        <v>77</v>
      </c>
      <c r="B10" t="s">
        <v>36</v>
      </c>
      <c r="C10" t="s">
        <v>51</v>
      </c>
      <c r="G10" t="s">
        <v>78</v>
      </c>
    </row>
    <row r="11" spans="1:7">
      <c r="A11" t="s">
        <v>79</v>
      </c>
      <c r="B11" t="s">
        <v>36</v>
      </c>
      <c r="C11" t="s">
        <v>80</v>
      </c>
      <c r="G11" t="s">
        <v>81</v>
      </c>
    </row>
    <row r="12" spans="1:7">
      <c r="A12" t="s">
        <v>82</v>
      </c>
      <c r="B12" t="s">
        <v>83</v>
      </c>
      <c r="C12" t="s">
        <v>84</v>
      </c>
      <c r="G12" t="s">
        <v>85</v>
      </c>
    </row>
    <row r="13" spans="1:7">
      <c r="A13" t="s">
        <v>86</v>
      </c>
      <c r="B13" t="s">
        <v>83</v>
      </c>
      <c r="C13" t="s">
        <v>84</v>
      </c>
      <c r="G13" t="s">
        <v>85</v>
      </c>
    </row>
    <row r="14" spans="1:7">
      <c r="A14" t="s">
        <v>87</v>
      </c>
      <c r="B14">
        <f>'08_纸张因子证据'!E13</f>
        <v>1.61929531574793</v>
      </c>
      <c r="C14" t="s">
        <v>51</v>
      </c>
      <c r="D14" t="s">
        <v>88</v>
      </c>
    </row>
    <row r="15" spans="1:7">
      <c r="A15" t="s">
        <v>89</v>
      </c>
    </row>
    <row r="16" spans="1:7">
      <c r="A16" t="s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5"/>
  <sheetData>
    <row r="1" spans="1:11">
      <c r="A1" t="s">
        <v>91</v>
      </c>
    </row>
    <row r="3" spans="1:11">
      <c r="A3" t="s">
        <v>92</v>
      </c>
    </row>
    <row r="5" spans="1:11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35</v>
      </c>
      <c r="K5" t="s">
        <v>12</v>
      </c>
    </row>
    <row r="6" spans="1:11">
      <c r="A6" t="s">
        <v>13</v>
      </c>
      <c r="B6" t="s">
        <v>15</v>
      </c>
      <c r="C6" t="s">
        <v>102</v>
      </c>
      <c r="D6">
        <f>'02_活动数据输入'!D6</f>
        <v>9.89</v>
      </c>
      <c r="E6" t="s">
        <v>97</v>
      </c>
      <c r="F6">
        <f>'03_排放因子库'!B4</f>
        <v>1.29</v>
      </c>
      <c r="G6" t="s">
        <v>103</v>
      </c>
      <c r="H6">
        <f>IFERROR(D6*F6,0)</f>
        <v>12.7581</v>
      </c>
    </row>
    <row r="7" spans="1:11">
      <c r="A7" t="s">
        <v>13</v>
      </c>
      <c r="B7" t="s">
        <v>15</v>
      </c>
      <c r="C7" t="s">
        <v>104</v>
      </c>
      <c r="D7">
        <f>'02_活动数据输入'!E6</f>
        <v>6.13</v>
      </c>
      <c r="E7" t="s">
        <v>97</v>
      </c>
      <c r="F7">
        <f>'03_排放因子库'!B6</f>
        <v>0.5777</v>
      </c>
      <c r="G7" t="s">
        <v>105</v>
      </c>
      <c r="H7">
        <f>IFERROR(D7*F7,0)</f>
        <v>3.541301</v>
      </c>
    </row>
    <row r="8" spans="1:11">
      <c r="A8" t="s">
        <v>13</v>
      </c>
      <c r="B8" t="s">
        <v>15</v>
      </c>
      <c r="C8" t="s">
        <v>106</v>
      </c>
      <c r="D8" t="str">
        <f>'02_活动数据输入'!F6</f>
        <v>待补/需人工核验</v>
      </c>
      <c r="E8" t="s">
        <v>97</v>
      </c>
      <c r="F8" t="str">
        <f>'03_排放因子库'!B9</f>
        <v>待补/需人工核验</v>
      </c>
      <c r="G8" t="s">
        <v>107</v>
      </c>
      <c r="H8">
        <f>IFERROR(D8*F8,0)</f>
        <v>0</v>
      </c>
    </row>
    <row r="9" spans="1:11">
      <c r="A9" t="s">
        <v>13</v>
      </c>
      <c r="B9" t="s">
        <v>15</v>
      </c>
      <c r="C9" t="s">
        <v>108</v>
      </c>
      <c r="D9">
        <v>0</v>
      </c>
      <c r="E9" t="s">
        <v>97</v>
      </c>
      <c r="F9">
        <v>0</v>
      </c>
      <c r="G9" t="s">
        <v>99</v>
      </c>
      <c r="H9">
        <f>IFERROR(D9*F9,0)</f>
        <v>0</v>
      </c>
      <c r="I9" t="s">
        <v>109</v>
      </c>
      <c r="J9" t="s">
        <v>110</v>
      </c>
    </row>
    <row r="11" spans="1:11">
      <c r="A11" t="s">
        <v>13</v>
      </c>
      <c r="B11" t="s">
        <v>18</v>
      </c>
      <c r="C11" t="s">
        <v>102</v>
      </c>
      <c r="D11">
        <f>'02_活动数据输入'!D7</f>
        <v>10.58</v>
      </c>
      <c r="E11" t="s">
        <v>97</v>
      </c>
      <c r="F11">
        <f>'03_排放因子库'!B4</f>
        <v>1.29</v>
      </c>
      <c r="G11" t="s">
        <v>111</v>
      </c>
      <c r="H11">
        <f>IFERROR(D11*F11,0)</f>
        <v>13.6482</v>
      </c>
    </row>
    <row r="12" spans="1:11">
      <c r="A12" t="s">
        <v>13</v>
      </c>
      <c r="B12" t="s">
        <v>18</v>
      </c>
      <c r="C12" t="s">
        <v>104</v>
      </c>
      <c r="D12">
        <f>'02_活动数据输入'!E7</f>
        <v>9.73</v>
      </c>
      <c r="E12" t="s">
        <v>97</v>
      </c>
      <c r="F12">
        <f>'03_排放因子库'!B6</f>
        <v>0.5777</v>
      </c>
      <c r="G12" t="s">
        <v>112</v>
      </c>
      <c r="H12">
        <f>IFERROR(D12*F12,0)</f>
        <v>5.621021</v>
      </c>
    </row>
    <row r="13" spans="1:11">
      <c r="A13" t="s">
        <v>13</v>
      </c>
      <c r="B13" t="s">
        <v>18</v>
      </c>
      <c r="C13" t="s">
        <v>113</v>
      </c>
      <c r="D13" t="str">
        <f>'02_活动数据输入'!F7</f>
        <v>待补/需人工核验</v>
      </c>
      <c r="E13" t="s">
        <v>97</v>
      </c>
      <c r="F13" t="str">
        <f>'03_排放因子库'!B10</f>
        <v>待补/需人工核验</v>
      </c>
      <c r="G13" t="s">
        <v>114</v>
      </c>
      <c r="H13">
        <f>IFERROR(D13*F13,0)</f>
        <v>0</v>
      </c>
    </row>
    <row r="14" spans="1:11">
      <c r="A14" t="s">
        <v>13</v>
      </c>
      <c r="B14" t="s">
        <v>18</v>
      </c>
      <c r="C14" t="s">
        <v>108</v>
      </c>
      <c r="D14" t="str">
        <f>'02_活动数据输入'!G7</f>
        <v>待补/需人工核验</v>
      </c>
      <c r="E14" t="s">
        <v>97</v>
      </c>
      <c r="F14" t="str">
        <f>'03_排放因子库'!B11</f>
        <v>待补/需人工核验</v>
      </c>
      <c r="G14" t="s">
        <v>115</v>
      </c>
      <c r="H14">
        <f>IFERROR(D14*F14,0)</f>
        <v>0</v>
      </c>
    </row>
    <row r="16" spans="1:11">
      <c r="A16" t="s">
        <v>116</v>
      </c>
    </row>
    <row r="17" spans="1:1">
      <c r="A17" t="s">
        <v>117</v>
      </c>
    </row>
    <row r="18" spans="1:1">
      <c r="A18" t="s">
        <v>118</v>
      </c>
    </row>
    <row r="19" spans="1:1">
      <c r="A19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"/>
    </sheetView>
  </sheetViews>
  <sheetFormatPr defaultColWidth="9" defaultRowHeight="15" outlineLevelCol="7"/>
  <sheetData>
    <row r="1" spans="1:8">
      <c r="A1" t="s">
        <v>120</v>
      </c>
    </row>
    <row r="3" spans="1:8">
      <c r="A3" t="s">
        <v>121</v>
      </c>
    </row>
    <row r="5" spans="1:8">
      <c r="A5" t="s">
        <v>7</v>
      </c>
      <c r="B5" t="s">
        <v>9</v>
      </c>
      <c r="C5" t="s">
        <v>122</v>
      </c>
      <c r="D5" t="s">
        <v>123</v>
      </c>
      <c r="E5" t="s">
        <v>124</v>
      </c>
      <c r="F5" t="s">
        <v>125</v>
      </c>
      <c r="G5" t="s">
        <v>35</v>
      </c>
      <c r="H5" t="s">
        <v>12</v>
      </c>
    </row>
    <row r="6" spans="1:8">
      <c r="A6" t="s">
        <v>13</v>
      </c>
      <c r="B6" t="s">
        <v>15</v>
      </c>
      <c r="C6" t="s">
        <v>126</v>
      </c>
      <c r="D6">
        <f>SUM('04_计算过程'!H6:H9)</f>
        <v>16.299401</v>
      </c>
      <c r="E6">
        <f>D6</f>
        <v>16.299401</v>
      </c>
      <c r="F6" t="s">
        <v>127</v>
      </c>
      <c r="G6" t="s">
        <v>128</v>
      </c>
      <c r="H6" t="s">
        <v>129</v>
      </c>
    </row>
    <row r="7" spans="1:8">
      <c r="A7" t="s">
        <v>13</v>
      </c>
      <c r="B7" t="s">
        <v>18</v>
      </c>
      <c r="C7" t="s">
        <v>126</v>
      </c>
      <c r="D7">
        <f>SUM('04_计算过程'!H11:H14)</f>
        <v>19.269221</v>
      </c>
      <c r="E7">
        <f>D7</f>
        <v>19.269221</v>
      </c>
      <c r="F7" t="s">
        <v>130</v>
      </c>
      <c r="G7" t="s">
        <v>128</v>
      </c>
      <c r="H7" t="s">
        <v>129</v>
      </c>
    </row>
    <row r="9" spans="1:8">
      <c r="A9" t="s">
        <v>131</v>
      </c>
      <c r="B9" t="s">
        <v>132</v>
      </c>
    </row>
    <row r="11" spans="1:8">
      <c r="A11" t="s">
        <v>133</v>
      </c>
      <c r="B11" t="s">
        <v>15</v>
      </c>
      <c r="C11" t="s">
        <v>18</v>
      </c>
      <c r="D11" t="s">
        <v>134</v>
      </c>
      <c r="E11" t="s">
        <v>135</v>
      </c>
    </row>
    <row r="12" spans="1:8">
      <c r="A12" t="s">
        <v>124</v>
      </c>
      <c r="B12" t="s">
        <v>136</v>
      </c>
      <c r="C12" t="s">
        <v>137</v>
      </c>
      <c r="D12" t="s">
        <v>138</v>
      </c>
      <c r="E12" t="str">
        <f>IF(D12&lt;0,"数字印刷更低",IF(D12&gt;0,"胶印更低","相同"))</f>
        <v>胶印更低</v>
      </c>
    </row>
    <row r="13" spans="1:8">
      <c r="A13" t="s">
        <v>139</v>
      </c>
      <c r="B13" t="s">
        <v>140</v>
      </c>
      <c r="C13" t="s">
        <v>141</v>
      </c>
      <c r="D13" t="s">
        <v>142</v>
      </c>
      <c r="E13" t="str">
        <f>IF(D13&lt;0,"数字印刷更低",IF(D13&gt;0,"胶印更低","相同"))</f>
        <v>胶印更低</v>
      </c>
    </row>
    <row r="15" spans="1:8">
      <c r="A15" t="s">
        <v>143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5" outlineLevelCol="6"/>
  <sheetData>
    <row r="1" spans="1:7">
      <c r="A1" t="s">
        <v>144</v>
      </c>
    </row>
    <row r="3" spans="1:7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12</v>
      </c>
    </row>
    <row r="4" spans="1:7">
      <c r="A4" t="s">
        <v>1</v>
      </c>
      <c r="B4" t="s">
        <v>126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</row>
    <row r="5" spans="1:7">
      <c r="A5" t="s">
        <v>61</v>
      </c>
      <c r="B5">
        <v>0.5777</v>
      </c>
      <c r="C5" t="s">
        <v>156</v>
      </c>
      <c r="D5" t="s">
        <v>157</v>
      </c>
      <c r="E5" t="s">
        <v>158</v>
      </c>
      <c r="F5" t="s">
        <v>154</v>
      </c>
      <c r="G5" t="s">
        <v>155</v>
      </c>
    </row>
    <row r="6" spans="1:7">
      <c r="A6" t="s">
        <v>159</v>
      </c>
      <c r="B6" t="s">
        <v>160</v>
      </c>
      <c r="G6" t="s">
        <v>161</v>
      </c>
    </row>
    <row r="7" spans="1:7">
      <c r="A7" t="s">
        <v>162</v>
      </c>
      <c r="B7">
        <v>6.13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</row>
    <row r="8" spans="1:7">
      <c r="A8" t="s">
        <v>168</v>
      </c>
      <c r="B8" t="s">
        <v>160</v>
      </c>
      <c r="G8" t="s">
        <v>169</v>
      </c>
    </row>
    <row r="9" spans="1:7">
      <c r="A9" t="s">
        <v>170</v>
      </c>
      <c r="B9" t="s">
        <v>160</v>
      </c>
      <c r="G9" t="s">
        <v>161</v>
      </c>
    </row>
    <row r="10" spans="1:7">
      <c r="A10" t="s">
        <v>171</v>
      </c>
      <c r="B10">
        <v>9.73</v>
      </c>
      <c r="C10" t="s">
        <v>163</v>
      </c>
      <c r="D10" t="s">
        <v>172</v>
      </c>
      <c r="E10" t="s">
        <v>165</v>
      </c>
      <c r="F10" t="s">
        <v>173</v>
      </c>
      <c r="G10" t="s">
        <v>167</v>
      </c>
    </row>
    <row r="11" spans="1:7">
      <c r="A11" t="s">
        <v>174</v>
      </c>
      <c r="B11" t="s">
        <v>160</v>
      </c>
      <c r="G11" t="s">
        <v>169</v>
      </c>
    </row>
    <row r="12" spans="1:7">
      <c r="A12" t="s">
        <v>175</v>
      </c>
      <c r="B12" t="s">
        <v>160</v>
      </c>
      <c r="G12" t="s">
        <v>169</v>
      </c>
    </row>
    <row r="13" spans="1:7">
      <c r="A13" t="s">
        <v>65</v>
      </c>
      <c r="B13" t="s">
        <v>160</v>
      </c>
      <c r="G13" t="s">
        <v>176</v>
      </c>
    </row>
    <row r="14" spans="1:7">
      <c r="A14" t="s">
        <v>177</v>
      </c>
      <c r="B14" t="s">
        <v>160</v>
      </c>
      <c r="G14" t="s">
        <v>176</v>
      </c>
    </row>
    <row r="15" spans="1:7">
      <c r="A15" t="s">
        <v>178</v>
      </c>
      <c r="B15" t="s">
        <v>160</v>
      </c>
      <c r="G15" t="s">
        <v>176</v>
      </c>
    </row>
    <row r="16" spans="1:7">
      <c r="A16" t="s">
        <v>179</v>
      </c>
      <c r="B16" t="s">
        <v>180</v>
      </c>
      <c r="C16" t="s">
        <v>156</v>
      </c>
      <c r="D16" t="s">
        <v>181</v>
      </c>
      <c r="E16" t="s">
        <v>158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182</v>
      </c>
    </row>
    <row r="3" spans="1:5">
      <c r="A3" t="s">
        <v>183</v>
      </c>
    </row>
    <row r="4" spans="1:5">
      <c r="A4" t="s">
        <v>184</v>
      </c>
      <c r="B4">
        <f>'02_活动数据输入'!E6</f>
        <v>6.13</v>
      </c>
    </row>
    <row r="5" spans="1:5">
      <c r="A5" t="s">
        <v>185</v>
      </c>
      <c r="B5">
        <f>'02_活动数据输入'!E7</f>
        <v>9.73</v>
      </c>
    </row>
    <row r="6" spans="1:5">
      <c r="A6" t="s">
        <v>186</v>
      </c>
      <c r="B6">
        <f>'02_活动数据输入'!D6</f>
        <v>9.89</v>
      </c>
    </row>
    <row r="7" spans="1:5">
      <c r="A7" t="s">
        <v>187</v>
      </c>
      <c r="B7">
        <f>'02_活动数据输入'!D7</f>
        <v>10.58</v>
      </c>
    </row>
    <row r="9" spans="1:5">
      <c r="A9" t="s">
        <v>188</v>
      </c>
    </row>
    <row r="10" spans="1:5">
      <c r="A10" t="s">
        <v>189</v>
      </c>
      <c r="B10">
        <f>'03_排放因子库'!B7</f>
        <v>1.29</v>
      </c>
    </row>
    <row r="11" spans="1:5">
      <c r="A11" t="s">
        <v>190</v>
      </c>
      <c r="B11">
        <f>'03_排放因子库'!B8</f>
        <v>1.49</v>
      </c>
    </row>
    <row r="12" spans="1:5">
      <c r="A12" t="s">
        <v>191</v>
      </c>
      <c r="B12">
        <f>'03_排放因子库'!B14</f>
        <v>1.61929531574793</v>
      </c>
    </row>
    <row r="13" spans="1:5">
      <c r="A13" t="s">
        <v>192</v>
      </c>
    </row>
    <row r="14" spans="1:5">
      <c r="A14" t="s">
        <v>193</v>
      </c>
      <c r="B14">
        <f>'03_排放因子库'!B6</f>
        <v>0.5777</v>
      </c>
      <c r="D14" t="s">
        <v>194</v>
      </c>
      <c r="E14" t="s">
        <v>195</v>
      </c>
    </row>
    <row r="15" spans="1:5">
      <c r="A15" t="s">
        <v>196</v>
      </c>
      <c r="B15">
        <v>0.5306</v>
      </c>
      <c r="D15" t="s">
        <v>197</v>
      </c>
      <c r="E15">
        <v>0.6361</v>
      </c>
    </row>
    <row r="16" spans="1:5">
      <c r="D16" t="s">
        <v>198</v>
      </c>
      <c r="E16">
        <v>0.5122</v>
      </c>
    </row>
    <row r="17" spans="1:5">
      <c r="A17" t="s">
        <v>199</v>
      </c>
      <c r="B17" t="s">
        <v>200</v>
      </c>
      <c r="D17" t="s">
        <v>200</v>
      </c>
      <c r="E17">
        <v>0.55</v>
      </c>
    </row>
    <row r="18" spans="1:5">
      <c r="A18" t="s">
        <v>201</v>
      </c>
      <c r="B18">
        <f>IFERROR(VLOOKUP($B$17,$D$15:$E$21,2,FALSE),"待补")</f>
        <v>0.55</v>
      </c>
      <c r="D18" t="s">
        <v>202</v>
      </c>
      <c r="E18">
        <v>0.5271</v>
      </c>
    </row>
    <row r="19" spans="1:5">
      <c r="D19" t="s">
        <v>203</v>
      </c>
      <c r="E19">
        <v>0.5543</v>
      </c>
    </row>
    <row r="20" spans="1:5">
      <c r="A20" t="s">
        <v>204</v>
      </c>
      <c r="B20" t="s">
        <v>205</v>
      </c>
      <c r="D20" t="s">
        <v>206</v>
      </c>
      <c r="E20">
        <v>0.4042</v>
      </c>
    </row>
    <row r="21" spans="1:5">
      <c r="A21" t="s">
        <v>207</v>
      </c>
      <c r="B21">
        <f>IFERROR(VLOOKUP($B$20,$D$25:$E$54,2,FALSE),"待补")</f>
        <v>0.1564</v>
      </c>
      <c r="D21" t="s">
        <v>208</v>
      </c>
      <c r="E21">
        <v>0.2472</v>
      </c>
    </row>
    <row r="23" spans="1:5">
      <c r="D23" t="s">
        <v>209</v>
      </c>
      <c r="E23" t="s">
        <v>195</v>
      </c>
    </row>
    <row r="25" spans="1:5">
      <c r="D25" t="s">
        <v>210</v>
      </c>
      <c r="E25">
        <v>0.5554</v>
      </c>
    </row>
    <row r="26" spans="1:5">
      <c r="D26" t="s">
        <v>211</v>
      </c>
      <c r="E26">
        <v>0.6796</v>
      </c>
    </row>
    <row r="27" spans="1:5">
      <c r="D27" t="s">
        <v>212</v>
      </c>
      <c r="E27">
        <v>0.6516</v>
      </c>
    </row>
    <row r="28" spans="1:5">
      <c r="D28" t="s">
        <v>213</v>
      </c>
      <c r="E28">
        <v>0.6634</v>
      </c>
    </row>
    <row r="29" spans="1:5">
      <c r="D29" t="s">
        <v>214</v>
      </c>
      <c r="E29">
        <v>0.6479</v>
      </c>
    </row>
    <row r="30" spans="1:5">
      <c r="D30" t="s">
        <v>215</v>
      </c>
      <c r="E30">
        <v>0.4878</v>
      </c>
    </row>
    <row r="31" spans="1:5">
      <c r="D31" t="s">
        <v>216</v>
      </c>
      <c r="E31">
        <v>0.4671</v>
      </c>
    </row>
    <row r="32" spans="1:5">
      <c r="D32" t="s">
        <v>217</v>
      </c>
      <c r="E32">
        <v>0.5229</v>
      </c>
    </row>
    <row r="33" spans="1:5">
      <c r="D33" t="s">
        <v>218</v>
      </c>
      <c r="E33">
        <v>0.5737</v>
      </c>
    </row>
    <row r="34" spans="1:5">
      <c r="D34" t="s">
        <v>219</v>
      </c>
      <c r="E34">
        <v>0.5827</v>
      </c>
    </row>
    <row r="35" spans="1:5">
      <c r="D35" t="s">
        <v>220</v>
      </c>
      <c r="E35">
        <v>0.4974</v>
      </c>
    </row>
    <row r="36" spans="1:5">
      <c r="A36" t="s">
        <v>221</v>
      </c>
      <c r="D36" t="s">
        <v>222</v>
      </c>
      <c r="E36">
        <v>0.6553</v>
      </c>
    </row>
    <row r="37" spans="1:5">
      <c r="A37" t="s">
        <v>223</v>
      </c>
      <c r="B37" t="s">
        <v>224</v>
      </c>
      <c r="D37" t="s">
        <v>225</v>
      </c>
      <c r="E37">
        <v>0.4211</v>
      </c>
    </row>
    <row r="38" spans="1:5">
      <c r="A38" t="s">
        <v>226</v>
      </c>
      <c r="B38" t="s">
        <v>227</v>
      </c>
      <c r="D38" t="s">
        <v>228</v>
      </c>
      <c r="E38">
        <v>0.5836</v>
      </c>
    </row>
    <row r="39" spans="1:5">
      <c r="D39" t="s">
        <v>229</v>
      </c>
      <c r="E39">
        <v>0.6191</v>
      </c>
    </row>
    <row r="40" spans="1:5">
      <c r="A40" t="s">
        <v>230</v>
      </c>
      <c r="D40" t="s">
        <v>231</v>
      </c>
      <c r="E40">
        <v>0.5897</v>
      </c>
    </row>
    <row r="41" spans="1:5">
      <c r="A41" t="s">
        <v>232</v>
      </c>
      <c r="B41">
        <v>6.13</v>
      </c>
      <c r="D41" t="s">
        <v>233</v>
      </c>
      <c r="E41">
        <v>0.4044</v>
      </c>
    </row>
    <row r="42" spans="1:5">
      <c r="A42" t="s">
        <v>234</v>
      </c>
      <c r="B42">
        <v>9.73</v>
      </c>
      <c r="D42" t="s">
        <v>235</v>
      </c>
      <c r="E42">
        <v>0.4976</v>
      </c>
    </row>
    <row r="43" spans="1:5">
      <c r="D43" t="s">
        <v>236</v>
      </c>
      <c r="E43">
        <v>0.4419</v>
      </c>
    </row>
    <row r="44" spans="1:5">
      <c r="D44" t="s">
        <v>237</v>
      </c>
      <c r="E44">
        <v>0.4476</v>
      </c>
    </row>
    <row r="45" spans="1:5">
      <c r="D45" t="s">
        <v>238</v>
      </c>
      <c r="E45">
        <v>0.3648</v>
      </c>
    </row>
    <row r="46" spans="1:5">
      <c r="D46" t="s">
        <v>239</v>
      </c>
      <c r="E46">
        <v>0.5581</v>
      </c>
    </row>
    <row r="47" spans="1:5">
      <c r="D47" t="s">
        <v>205</v>
      </c>
      <c r="E47">
        <v>0.1564</v>
      </c>
    </row>
    <row r="48" spans="1:5">
      <c r="D48" t="s">
        <v>240</v>
      </c>
      <c r="E48">
        <v>0.5683</v>
      </c>
    </row>
    <row r="49" spans="1:5">
      <c r="D49" t="s">
        <v>241</v>
      </c>
      <c r="E49">
        <v>0.1333</v>
      </c>
    </row>
    <row r="50" spans="1:5">
      <c r="D50" t="s">
        <v>242</v>
      </c>
      <c r="E50">
        <v>0.6335</v>
      </c>
    </row>
    <row r="51" spans="1:5">
      <c r="D51" t="s">
        <v>243</v>
      </c>
      <c r="E51">
        <v>0.4471</v>
      </c>
    </row>
    <row r="52" spans="1:5">
      <c r="D52" t="s">
        <v>244</v>
      </c>
      <c r="E52">
        <v>0.1796</v>
      </c>
    </row>
    <row r="53" spans="1:5">
      <c r="D53" t="s">
        <v>245</v>
      </c>
      <c r="E53">
        <v>0.6187</v>
      </c>
    </row>
    <row r="54" spans="1:5">
      <c r="D54" t="s">
        <v>246</v>
      </c>
      <c r="E54">
        <v>0.6021</v>
      </c>
    </row>
    <row r="60" spans="1:5">
      <c r="A60" t="s">
        <v>247</v>
      </c>
    </row>
    <row r="61" spans="1:5">
      <c r="A61" t="s">
        <v>94</v>
      </c>
      <c r="B61" t="s">
        <v>248</v>
      </c>
      <c r="C61" t="s">
        <v>249</v>
      </c>
      <c r="D61" t="s">
        <v>250</v>
      </c>
      <c r="E61" t="s">
        <v>251</v>
      </c>
    </row>
    <row r="62" spans="1:5">
      <c r="A62" t="s">
        <v>15</v>
      </c>
      <c r="B62">
        <f>B10</f>
        <v>1.29</v>
      </c>
      <c r="C62">
        <f>B6*B10</f>
        <v>12.7581</v>
      </c>
      <c r="D62">
        <f>B4*B14</f>
        <v>3.541301</v>
      </c>
      <c r="E62">
        <f t="shared" ref="E62:E67" si="0">C62+D62</f>
        <v>16.299401</v>
      </c>
    </row>
    <row r="63" spans="1:5">
      <c r="A63" t="s">
        <v>18</v>
      </c>
      <c r="B63">
        <f>B10</f>
        <v>1.29</v>
      </c>
      <c r="C63">
        <f>B7*B10</f>
        <v>13.6482</v>
      </c>
      <c r="D63">
        <f>B5*B14</f>
        <v>5.621021</v>
      </c>
      <c r="E63">
        <f t="shared" si="0"/>
        <v>19.269221</v>
      </c>
    </row>
    <row r="64" spans="1:5">
      <c r="A64" t="s">
        <v>15</v>
      </c>
      <c r="B64">
        <f>B11</f>
        <v>1.49</v>
      </c>
      <c r="C64">
        <f>B6*B11</f>
        <v>14.7361</v>
      </c>
      <c r="D64">
        <f>B4*B14</f>
        <v>3.541301</v>
      </c>
      <c r="E64">
        <f t="shared" si="0"/>
        <v>18.277401</v>
      </c>
    </row>
    <row r="65" spans="1:5">
      <c r="A65" t="s">
        <v>18</v>
      </c>
      <c r="B65">
        <f>B11</f>
        <v>1.49</v>
      </c>
      <c r="C65">
        <f>B7*B11</f>
        <v>15.7642</v>
      </c>
      <c r="D65">
        <f>B5*B14</f>
        <v>5.621021</v>
      </c>
      <c r="E65">
        <f t="shared" si="0"/>
        <v>21.385221</v>
      </c>
    </row>
    <row r="66" spans="1:5">
      <c r="A66" t="s">
        <v>15</v>
      </c>
      <c r="B66">
        <f>B12</f>
        <v>1.61929531574793</v>
      </c>
      <c r="C66">
        <f>B6*B12</f>
        <v>16.014830672747</v>
      </c>
      <c r="D66">
        <f>B4*B14</f>
        <v>3.541301</v>
      </c>
      <c r="E66">
        <f t="shared" si="0"/>
        <v>19.556131672747</v>
      </c>
    </row>
    <row r="67" spans="1:5">
      <c r="A67" t="s">
        <v>18</v>
      </c>
      <c r="B67">
        <f>B12</f>
        <v>1.61929531574793</v>
      </c>
      <c r="C67">
        <f>B7*B12</f>
        <v>17.1321444406131</v>
      </c>
      <c r="D67">
        <f>B5*B14</f>
        <v>5.621021</v>
      </c>
      <c r="E67">
        <f t="shared" si="0"/>
        <v>22.7531654406131</v>
      </c>
    </row>
    <row r="69" spans="1:5">
      <c r="A69" t="s">
        <v>252</v>
      </c>
    </row>
    <row r="72" spans="1:5">
      <c r="A72" t="s">
        <v>253</v>
      </c>
    </row>
    <row r="73" spans="1:5">
      <c r="A73" t="s">
        <v>254</v>
      </c>
      <c r="B73" t="s">
        <v>255</v>
      </c>
    </row>
    <row r="75" spans="1:5">
      <c r="A75" t="s">
        <v>256</v>
      </c>
    </row>
    <row r="76" spans="1:5">
      <c r="A76" t="s">
        <v>257</v>
      </c>
      <c r="B76">
        <f>B7-B6</f>
        <v>0.69</v>
      </c>
    </row>
    <row r="77" spans="1:5">
      <c r="A77" t="s">
        <v>258</v>
      </c>
      <c r="B77">
        <f>B4</f>
        <v>6.13</v>
      </c>
    </row>
    <row r="78" spans="1:5">
      <c r="A78" t="s">
        <v>259</v>
      </c>
      <c r="B78">
        <f>B14</f>
        <v>0.5777</v>
      </c>
    </row>
    <row r="80" spans="1:5">
      <c r="A80" t="s">
        <v>260</v>
      </c>
      <c r="B80" t="s">
        <v>261</v>
      </c>
      <c r="C80" t="s">
        <v>262</v>
      </c>
    </row>
    <row r="81" spans="1:3">
      <c r="A81" t="s">
        <v>263</v>
      </c>
      <c r="B81">
        <f>B10</f>
        <v>1.29</v>
      </c>
      <c r="C81">
        <f>B77-(B76*B81)/B78</f>
        <v>4.58923489700537</v>
      </c>
    </row>
    <row r="82" spans="1:3">
      <c r="A82" t="s">
        <v>264</v>
      </c>
      <c r="B82">
        <f>B11</f>
        <v>1.49</v>
      </c>
      <c r="C82">
        <f>B77-(B76*B82)/B78</f>
        <v>4.35035658646356</v>
      </c>
    </row>
    <row r="83" spans="1:3">
      <c r="A83" t="s">
        <v>265</v>
      </c>
      <c r="B83">
        <f>B12</f>
        <v>1.61929531574793</v>
      </c>
      <c r="C83">
        <f>B77-(B76*B83)/B78</f>
        <v>4.1959273535294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ySplit="7" topLeftCell="A8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20" customWidth="1"/>
    <col min="2" max="2" width="28" customWidth="1"/>
    <col min="3" max="6" width="18" customWidth="1"/>
    <col min="7" max="7" width="30" customWidth="1"/>
  </cols>
  <sheetData>
    <row r="1" ht="17.5" spans="1:7">
      <c r="A1" s="1" t="s">
        <v>266</v>
      </c>
    </row>
    <row r="3" spans="1:7">
      <c r="A3" s="2" t="s">
        <v>267</v>
      </c>
    </row>
    <row r="4" spans="1:7">
      <c r="A4" s="3" t="s">
        <v>268</v>
      </c>
    </row>
    <row r="8" spans="1:7">
      <c r="A8" s="2" t="s">
        <v>269</v>
      </c>
    </row>
    <row r="9" spans="1:7">
      <c r="A9" s="3" t="s">
        <v>270</v>
      </c>
    </row>
    <row r="11" ht="30" spans="1:7">
      <c r="A11" s="4" t="s">
        <v>271</v>
      </c>
      <c r="B11" s="4" t="s">
        <v>272</v>
      </c>
      <c r="C11" s="4" t="s">
        <v>273</v>
      </c>
      <c r="D11" s="4" t="s">
        <v>274</v>
      </c>
      <c r="E11" s="4" t="s">
        <v>275</v>
      </c>
      <c r="F11" s="4" t="s">
        <v>12</v>
      </c>
      <c r="G11" s="4" t="s">
        <v>276</v>
      </c>
    </row>
    <row r="12" ht="45" spans="1:7">
      <c r="A12" s="5" t="s">
        <v>277</v>
      </c>
      <c r="B12" s="6">
        <v>1194</v>
      </c>
      <c r="C12" s="5" t="s">
        <v>278</v>
      </c>
      <c r="D12" s="7">
        <v>907.18474</v>
      </c>
      <c r="E12" s="8">
        <f>B12/D12</f>
        <v>1.31615970524372</v>
      </c>
      <c r="F12" s="9" t="s">
        <v>279</v>
      </c>
      <c r="G12" s="9" t="s">
        <v>280</v>
      </c>
    </row>
    <row r="13" ht="45" spans="1:7">
      <c r="A13" s="5" t="s">
        <v>281</v>
      </c>
      <c r="B13" s="6">
        <v>1469</v>
      </c>
      <c r="C13" s="5" t="s">
        <v>278</v>
      </c>
      <c r="D13" s="7">
        <v>907.18474</v>
      </c>
      <c r="E13" s="8">
        <f>B13/D13</f>
        <v>1.61929531574793</v>
      </c>
      <c r="F13" s="9" t="s">
        <v>279</v>
      </c>
      <c r="G13" s="9" t="s">
        <v>282</v>
      </c>
    </row>
    <row r="14" spans="1:7">
      <c r="A14" s="5" t="s">
        <v>283</v>
      </c>
      <c r="B14" s="6">
        <v>1176</v>
      </c>
      <c r="C14" s="5" t="s">
        <v>278</v>
      </c>
      <c r="D14" s="7">
        <v>907.18474</v>
      </c>
      <c r="E14" s="8">
        <f>B14/D14</f>
        <v>1.29631810164708</v>
      </c>
      <c r="F14" s="9" t="s">
        <v>284</v>
      </c>
      <c r="G14" s="9" t="s">
        <v>285</v>
      </c>
    </row>
    <row r="15" spans="1:7">
      <c r="A15" s="5" t="s">
        <v>286</v>
      </c>
      <c r="B15" s="6">
        <v>1393</v>
      </c>
      <c r="C15" s="5" t="s">
        <v>278</v>
      </c>
      <c r="D15" s="7">
        <v>907.18474</v>
      </c>
      <c r="E15" s="8">
        <f>B15/D15</f>
        <v>1.53551965611767</v>
      </c>
      <c r="F15" s="9" t="s">
        <v>284</v>
      </c>
      <c r="G15" s="9" t="s">
        <v>287</v>
      </c>
    </row>
    <row r="17" spans="1:7">
      <c r="A17" s="2" t="s">
        <v>288</v>
      </c>
      <c r="E17" s="10">
        <f>E13</f>
        <v>1.61929531574793</v>
      </c>
      <c r="F17" s="11"/>
      <c r="G17" s="12"/>
    </row>
    <row r="19" spans="1:7">
      <c r="A19" s="2" t="s">
        <v>289</v>
      </c>
    </row>
    <row r="20" spans="1:7">
      <c r="A20" s="3" t="s">
        <v>290</v>
      </c>
    </row>
    <row r="22" ht="30" spans="1:7">
      <c r="A22" s="4" t="s">
        <v>133</v>
      </c>
      <c r="B22" s="4" t="s">
        <v>291</v>
      </c>
      <c r="C22" s="4" t="s">
        <v>275</v>
      </c>
      <c r="D22" s="4" t="s">
        <v>60</v>
      </c>
      <c r="E22" s="4" t="s">
        <v>12</v>
      </c>
      <c r="F22" s="4" t="s">
        <v>284</v>
      </c>
      <c r="G22" s="12"/>
    </row>
    <row r="23" ht="30" spans="1:7">
      <c r="A23" s="9" t="s">
        <v>292</v>
      </c>
      <c r="B23" s="5">
        <v>942</v>
      </c>
      <c r="C23" s="8">
        <f>B23/1000</f>
        <v>0.942</v>
      </c>
      <c r="D23" s="9" t="s">
        <v>293</v>
      </c>
      <c r="E23" s="9" t="s">
        <v>294</v>
      </c>
      <c r="F23" s="13" t="s">
        <v>284</v>
      </c>
      <c r="G23" s="12"/>
    </row>
    <row r="24" ht="30" spans="1:7">
      <c r="A24" s="9" t="s">
        <v>295</v>
      </c>
      <c r="B24" s="5" t="s">
        <v>296</v>
      </c>
      <c r="C24" s="5" t="s">
        <v>297</v>
      </c>
      <c r="D24" s="9" t="s">
        <v>293</v>
      </c>
      <c r="E24" s="9" t="s">
        <v>298</v>
      </c>
      <c r="F24" s="13" t="s">
        <v>284</v>
      </c>
      <c r="G24" s="12"/>
    </row>
    <row r="26" spans="1:7">
      <c r="A26" s="2" t="s">
        <v>299</v>
      </c>
    </row>
    <row r="27" spans="1:7">
      <c r="A27" s="3" t="s">
        <v>300</v>
      </c>
    </row>
    <row r="29" spans="1:7">
      <c r="A29" s="4" t="s">
        <v>301</v>
      </c>
      <c r="B29" s="4" t="s">
        <v>302</v>
      </c>
      <c r="C29" s="4" t="s">
        <v>303</v>
      </c>
      <c r="D29" s="4" t="s">
        <v>304</v>
      </c>
      <c r="E29" s="4" t="s">
        <v>12</v>
      </c>
      <c r="F29" s="4" t="s">
        <v>284</v>
      </c>
      <c r="G29" s="12"/>
    </row>
    <row r="30" ht="45" spans="1:7">
      <c r="A30" s="9" t="s">
        <v>305</v>
      </c>
      <c r="B30" s="5">
        <v>1432</v>
      </c>
      <c r="C30" s="8">
        <f>B30/1000</f>
        <v>1.432</v>
      </c>
      <c r="D30" s="9" t="s">
        <v>306</v>
      </c>
      <c r="E30" s="9" t="s">
        <v>307</v>
      </c>
      <c r="F30" s="13" t="s">
        <v>284</v>
      </c>
      <c r="G30" s="12"/>
    </row>
    <row r="31" ht="45" spans="1:7">
      <c r="A31" s="9" t="s">
        <v>308</v>
      </c>
      <c r="B31" s="5">
        <v>2478</v>
      </c>
      <c r="C31" s="8">
        <f>B31/1000</f>
        <v>2.478</v>
      </c>
      <c r="D31" s="9" t="s">
        <v>309</v>
      </c>
      <c r="E31" s="9" t="s">
        <v>310</v>
      </c>
      <c r="F31" s="13" t="s">
        <v>284</v>
      </c>
      <c r="G31" s="12"/>
    </row>
    <row r="34" spans="1:7">
      <c r="A34" s="2" t="s">
        <v>311</v>
      </c>
    </row>
    <row r="36" ht="45" spans="1:7">
      <c r="A36" s="4" t="s">
        <v>94</v>
      </c>
      <c r="B36" s="4" t="s">
        <v>312</v>
      </c>
      <c r="C36" s="4" t="s">
        <v>313</v>
      </c>
      <c r="D36" s="4" t="s">
        <v>314</v>
      </c>
      <c r="E36" s="4" t="s">
        <v>315</v>
      </c>
      <c r="F36" s="4" t="s">
        <v>12</v>
      </c>
      <c r="G36" s="4" t="s">
        <v>284</v>
      </c>
    </row>
    <row r="37" ht="45" spans="1:7">
      <c r="A37" s="5" t="s">
        <v>15</v>
      </c>
      <c r="B37" s="14">
        <f>'02_活动数据输入'!D6</f>
        <v>9.89</v>
      </c>
      <c r="C37" s="14">
        <f>B37*'03_排放因子库'!$B$7</f>
        <v>12.7581</v>
      </c>
      <c r="D37" s="14">
        <f>B37*'03_排放因子库'!$B$8</f>
        <v>14.7361</v>
      </c>
      <c r="E37" s="14">
        <f>B37*E13</f>
        <v>16.014830672747</v>
      </c>
      <c r="F37" s="9" t="s">
        <v>316</v>
      </c>
      <c r="G37" s="13" t="s">
        <v>284</v>
      </c>
    </row>
    <row r="38" ht="45" spans="1:7">
      <c r="A38" s="5" t="s">
        <v>18</v>
      </c>
      <c r="B38" s="14">
        <f>'02_活动数据输入'!D7</f>
        <v>10.58</v>
      </c>
      <c r="C38" s="14">
        <f>B38*'03_排放因子库'!$B$7</f>
        <v>13.6482</v>
      </c>
      <c r="D38" s="14">
        <f>B38*'03_排放因子库'!$B$8</f>
        <v>15.7642</v>
      </c>
      <c r="E38" s="14">
        <f>B38*E13</f>
        <v>17.1321444406131</v>
      </c>
      <c r="F38" s="9" t="s">
        <v>316</v>
      </c>
      <c r="G38" s="13" t="s">
        <v>284</v>
      </c>
    </row>
  </sheetData>
  <mergeCells count="18">
    <mergeCell ref="A1:G1"/>
    <mergeCell ref="A3:G3"/>
    <mergeCell ref="A8:G8"/>
    <mergeCell ref="A9:G9"/>
    <mergeCell ref="A17:D17"/>
    <mergeCell ref="E17:G17"/>
    <mergeCell ref="A19:G19"/>
    <mergeCell ref="A20:G20"/>
    <mergeCell ref="F22:G22"/>
    <mergeCell ref="F23:G23"/>
    <mergeCell ref="F24:G24"/>
    <mergeCell ref="A26:G26"/>
    <mergeCell ref="A27:G27"/>
    <mergeCell ref="F29:G29"/>
    <mergeCell ref="F30:G30"/>
    <mergeCell ref="F31:G31"/>
    <mergeCell ref="A34:G34"/>
    <mergeCell ref="A4:G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5" outlineLevelRow="2" outlineLevelCol="1"/>
  <sheetData>
    <row r="1" spans="1:2">
      <c r="A1" t="s">
        <v>317</v>
      </c>
      <c r="B1" t="s">
        <v>318</v>
      </c>
    </row>
    <row r="2" spans="1:2">
      <c r="A2" t="s">
        <v>319</v>
      </c>
      <c r="B2" t="s">
        <v>320</v>
      </c>
    </row>
    <row r="3" spans="1:2">
      <c r="A3" t="s">
        <v>321</v>
      </c>
      <c r="B3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01_功能单位与情景</vt:lpstr>
      <vt:lpstr>02_活动数据输入</vt:lpstr>
      <vt:lpstr>03_排放因子库</vt:lpstr>
      <vt:lpstr>04_计算过程</vt:lpstr>
      <vt:lpstr>05_结果汇总</vt:lpstr>
      <vt:lpstr>06_数据来源留痕</vt:lpstr>
      <vt:lpstr>07_敏感性分析</vt:lpstr>
      <vt:lpstr>08_纸张因子证据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刘嘉华</cp:lastModifiedBy>
  <dcterms:created xsi:type="dcterms:W3CDTF">2026-02-24T03:27:00Z</dcterms:created>
  <dcterms:modified xsi:type="dcterms:W3CDTF">2026-03-03T08:44:03Z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3B0E37DEC572480C80C0A0DC50CF77D6_12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