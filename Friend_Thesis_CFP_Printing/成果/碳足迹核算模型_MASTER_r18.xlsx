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功能单位与情景" sheetId="1" state="visible" r:id="rId1"/>
    <sheet xmlns:r="http://schemas.openxmlformats.org/officeDocument/2006/relationships" name="02_活动数据输入" sheetId="2" state="visible" r:id="rId2"/>
    <sheet xmlns:r="http://schemas.openxmlformats.org/officeDocument/2006/relationships" name="03_排放因子库" sheetId="3" state="visible" r:id="rId3"/>
    <sheet xmlns:r="http://schemas.openxmlformats.org/officeDocument/2006/relationships" name="04_计算过程" sheetId="4" state="visible" r:id="rId4"/>
    <sheet xmlns:r="http://schemas.openxmlformats.org/officeDocument/2006/relationships" name="05_结果汇总" sheetId="5" state="visible" r:id="rId5"/>
    <sheet xmlns:r="http://schemas.openxmlformats.org/officeDocument/2006/relationships" name="06_数据来源留痕" sheetId="6" state="visible" r:id="rId6"/>
    <sheet xmlns:r="http://schemas.openxmlformats.org/officeDocument/2006/relationships" name="07_敏感性分析" sheetId="7" state="visible" r:id="rId7"/>
    <sheet xmlns:r="http://schemas.openxmlformats.org/officeDocument/2006/relationships" name="08_纸张因子证据" sheetId="8" state="visible" r:id="rId8"/>
    <sheet xmlns:r="http://schemas.openxmlformats.org/officeDocument/2006/relationships" name="META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3">
    <font>
      <name val="Calibri"/>
      <family val="2"/>
      <color theme="1"/>
      <sz val="12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2" fontId="0" fillId="0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01_功能单位与情景</t>
        </is>
      </c>
    </row>
    <row r="3">
      <c r="A3" t="inlineStr">
        <is>
          <t>功能单位定义</t>
        </is>
      </c>
    </row>
    <row r="4">
      <c r="A4" t="inlineStr">
        <is>
          <t>功能单位描述</t>
        </is>
      </c>
      <c r="B4" t="inlineStr">
        <is>
          <t>参考流：1000张A4双面彩色印刷品（=2000个A4印面）；结果统一按1000印面归一（即对“1000张双面”结果除以2）。</t>
        </is>
      </c>
    </row>
    <row r="5">
      <c r="A5" t="inlineStr">
        <is>
          <t>功能单位数量</t>
        </is>
      </c>
      <c r="B5" t="n">
        <v>1000</v>
      </c>
      <c r="C5" t="inlineStr">
        <is>
          <t>张（双面）</t>
        </is>
      </c>
    </row>
    <row r="6">
      <c r="A6" t="inlineStr">
        <is>
          <t>参考流换算：每张对应印面数</t>
        </is>
      </c>
      <c r="B6" t="n">
        <v>2</v>
      </c>
      <c r="C6" t="inlineStr">
        <is>
          <t>双面=2印面；单面=1印面。本模型参考流按双面计（=2）。</t>
        </is>
      </c>
    </row>
    <row r="7">
      <c r="A7" t="inlineStr">
        <is>
          <t>情景定义</t>
        </is>
      </c>
    </row>
    <row r="8">
      <c r="A8" t="inlineStr">
        <is>
          <t>场景编号</t>
        </is>
      </c>
      <c r="B8" t="inlineStr">
        <is>
          <t>场景名称</t>
        </is>
      </c>
      <c r="C8" t="inlineStr">
        <is>
          <t>工艺类型</t>
        </is>
      </c>
      <c r="D8" t="inlineStr">
        <is>
          <t>产量(张)</t>
        </is>
      </c>
      <c r="E8" t="inlineStr">
        <is>
          <t>批次特征</t>
        </is>
      </c>
      <c r="F8" t="inlineStr">
        <is>
          <t>备注</t>
        </is>
      </c>
    </row>
    <row r="9">
      <c r="A9" t="inlineStr">
        <is>
          <t>S1</t>
        </is>
      </c>
      <c r="B9" t="inlineStr">
        <is>
          <t>小批量印刷</t>
        </is>
      </c>
      <c r="C9" t="inlineStr">
        <is>
          <t>数字印刷</t>
        </is>
      </c>
      <c r="D9" t="n">
        <v>1000</v>
      </c>
      <c r="E9" t="inlineStr">
        <is>
          <t>短版、个性化</t>
        </is>
      </c>
      <c r="F9" t="inlineStr">
        <is>
          <t>本MVP目标</t>
        </is>
      </c>
    </row>
    <row r="10">
      <c r="A10" t="inlineStr">
        <is>
          <t>S1</t>
        </is>
      </c>
      <c r="B10" t="inlineStr">
        <is>
          <t>小批量印刷</t>
        </is>
      </c>
      <c r="C10" t="inlineStr">
        <is>
          <t>胶印</t>
        </is>
      </c>
      <c r="D10" t="n">
        <v>1000</v>
      </c>
      <c r="E10" t="inlineStr">
        <is>
          <t>传统制版印刷</t>
        </is>
      </c>
      <c r="F10" t="inlineStr">
        <is>
          <t>对比基准</t>
        </is>
      </c>
    </row>
    <row r="12">
      <c r="A12" t="inlineStr">
        <is>
          <t>控制项（用于敏感性分析）</t>
        </is>
      </c>
    </row>
    <row r="13">
      <c r="A13" t="inlineStr">
        <is>
          <t>纸张因子选择（主线/中国）</t>
        </is>
      </c>
      <c r="B13" t="inlineStr">
        <is>
          <t>主线</t>
        </is>
      </c>
      <c r="C13" t="inlineStr">
        <is>
          <t>填“主线”=使用B7(1.29)；填“中国”=使用B8(1.49)</t>
        </is>
      </c>
    </row>
    <row r="14">
      <c r="A14" t="inlineStr">
        <is>
          <t>电耗数据来源（估算/实测）</t>
        </is>
      </c>
      <c r="B14" t="inlineStr">
        <is>
          <t>估算</t>
        </is>
      </c>
      <c r="C14" t="inlineStr">
        <is>
          <t>填“估算”使用占位值；填“实测/手册”优先使用实测/手册值（若未填则回退占位）</t>
        </is>
      </c>
    </row>
    <row r="15">
      <c r="A15" t="inlineStr">
        <is>
          <t>电耗情景开关（3档）</t>
        </is>
      </c>
      <c r="B15" t="inlineStr">
        <is>
          <t>主线_文献占位(VTT)</t>
        </is>
      </c>
      <c r="C15" t="inlineStr">
        <is>
          <t>主线：使用VTT折算占位；设备级校验仅提示；极端：Nordic Swan企业级阈值折算作为讨论上限。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02_活动数据输入</t>
        </is>
      </c>
    </row>
    <row r="3">
      <c r="A3" t="inlineStr">
        <is>
          <t>场景S1 - 活动数据清单</t>
        </is>
      </c>
    </row>
    <row r="5">
      <c r="A5" t="inlineStr">
        <is>
          <t>场景编号</t>
        </is>
      </c>
      <c r="B5" t="inlineStr">
        <is>
          <t>工艺类型</t>
        </is>
      </c>
      <c r="C5" t="inlineStr">
        <is>
          <t>产量(张)</t>
        </is>
      </c>
      <c r="D5" t="inlineStr">
        <is>
          <t>纸张消耗(kg)</t>
        </is>
      </c>
      <c r="E5" t="inlineStr">
        <is>
          <t>电耗(kWh)</t>
        </is>
      </c>
      <c r="F5" t="inlineStr">
        <is>
          <t>油墨/墨粉(kg)</t>
        </is>
      </c>
      <c r="G5" t="inlineStr">
        <is>
          <t>版材消耗(张)</t>
        </is>
      </c>
      <c r="H5" t="inlineStr">
        <is>
          <t>废品率</t>
        </is>
      </c>
      <c r="I5" t="inlineStr">
        <is>
          <t>数据来源</t>
        </is>
      </c>
      <c r="J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n">
        <v>1000</v>
      </c>
      <c r="D6" t="n">
        <v>9.890000000000001</v>
      </c>
      <c r="E6" t="n">
        <v>6.13</v>
      </c>
      <c r="F6" t="inlineStr">
        <is>
          <t>待补/需人工核验</t>
        </is>
      </c>
      <c r="G6" t="n">
        <v>0</v>
      </c>
      <c r="H6" t="n">
        <v>0.01</v>
      </c>
      <c r="I6" t="inlineStr">
        <is>
          <t>文献换算（VTT 2010）</t>
        </is>
      </c>
      <c r="J6" t="inlineStr">
        <is>
          <t>文献区间换算：电摄影印刷能耗 590–650 kWh/tonne；按纸张消耗9.89 kg/1000张折算 =&gt; 6.13 kWh/1000张（中值）。 | 新增：可在01!B15切换“企业级极端(Nordic Swan)”作为讨论上限。</t>
        </is>
      </c>
    </row>
    <row r="7">
      <c r="A7" t="inlineStr">
        <is>
          <t>S1</t>
        </is>
      </c>
      <c r="B7" t="inlineStr">
        <is>
          <t>胶印</t>
        </is>
      </c>
      <c r="C7" t="n">
        <v>1000</v>
      </c>
      <c r="D7" t="n">
        <v>10.58</v>
      </c>
      <c r="E7" t="n">
        <v>9.73</v>
      </c>
      <c r="F7" t="inlineStr">
        <is>
          <t>待补/需人工核验</t>
        </is>
      </c>
      <c r="G7" t="inlineStr">
        <is>
          <t>待补/需人工核验</t>
        </is>
      </c>
      <c r="H7" t="n">
        <v>0.08</v>
      </c>
      <c r="I7" t="inlineStr">
        <is>
          <t>文献换算（VTT 2010）</t>
        </is>
      </c>
      <c r="J7" t="inlineStr">
        <is>
          <t>文献区间换算：平张胶印能耗 800–1040 kWh/tonne；按纸张消耗10.58 kg/1000张折算 =&gt; 9.73 kWh/1000张（中值）。 | 新增：可在01!B15切换“企业级极端(Nordic Swan)”作为讨论上限。</t>
        </is>
      </c>
    </row>
    <row r="9">
      <c r="A9" t="inlineStr">
        <is>
          <t>计算说明：</t>
        </is>
      </c>
    </row>
    <row r="10">
      <c r="A10" t="inlineStr">
        <is>
          <t>1. 纸张消耗 = 产量 × 单张克重 × (1 + 废品率)</t>
        </is>
      </c>
    </row>
    <row r="11">
      <c r="A11" t="inlineStr">
        <is>
          <t>2. 实际产量 = 订单量 / (1 - 废品率)</t>
        </is>
      </c>
    </row>
    <row r="13">
      <c r="A13" t="inlineStr">
        <is>
          <t>电耗数据（kWh/1000张）</t>
        </is>
      </c>
    </row>
    <row r="14">
      <c r="B14" t="inlineStr">
        <is>
          <t>数字印刷_文献换算（VTT 2010 Table 4，Electrophotography）</t>
        </is>
      </c>
      <c r="C14" t="n">
        <v>6.13</v>
      </c>
    </row>
    <row r="15">
      <c r="B15" t="inlineStr">
        <is>
          <t>胶印_文献换算（VTT 2010 Table 4，Sheetfed offset）</t>
        </is>
      </c>
      <c r="C15" t="n">
        <v>9.73</v>
      </c>
    </row>
    <row r="16">
      <c r="B16" t="inlineStr">
        <is>
          <t>数字印刷_实测/手册</t>
        </is>
      </c>
      <c r="C16" t="inlineStr">
        <is>
          <t>待补/需人工核验</t>
        </is>
      </c>
    </row>
    <row r="17">
      <c r="B17" t="inlineStr">
        <is>
          <t>胶印_实测/手册</t>
        </is>
      </c>
      <c r="C17" t="inlineStr">
        <is>
          <t>待补/需人工核验</t>
        </is>
      </c>
    </row>
    <row r="18">
      <c r="B18" t="inlineStr">
        <is>
          <t>数字印刷_企业级极端（Nordic Swan 041：3700 kWh/吨购入基材，按本FU纸张消耗折算）</t>
        </is>
      </c>
      <c r="C18">
        <f>3700*$D$6/1000</f>
        <v/>
      </c>
    </row>
    <row r="19">
      <c r="B19" t="inlineStr">
        <is>
          <t>胶印_企业级极端（Nordic Swan 041：1700 kWh/吨购入基材，按本FU纸张消耗折算）</t>
        </is>
      </c>
      <c r="C19">
        <f>1700*$D$7/1000</f>
        <v/>
      </c>
    </row>
    <row r="20">
      <c r="B20" t="inlineStr">
        <is>
          <t>胶印_设备级校验（Heidelberg Speedmaster XL 106：8 kWh/1000 sheets，仅提示，不进入计算）</t>
        </is>
      </c>
      <c r="C20" t="n">
        <v>8</v>
      </c>
    </row>
    <row r="21">
      <c r="B21" t="inlineStr">
        <is>
          <t>数字印刷_设备级校验（待补：若找到对应设备手册/实测）</t>
        </is>
      </c>
      <c r="C21" t="inlineStr">
        <is>
          <t>待补/需人工核验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03_排放因子库</t>
        </is>
      </c>
    </row>
    <row r="3">
      <c r="A3" t="inlineStr">
        <is>
          <t>排放因子清单</t>
        </is>
      </c>
    </row>
    <row r="4">
      <c r="A4" t="inlineStr">
        <is>
          <t>纸张排放因子_当前（自动）</t>
        </is>
      </c>
      <c r="B4" t="n">
        <v>1.29</v>
      </c>
      <c r="C4" t="inlineStr">
        <is>
          <t>kgCO2e/kg</t>
        </is>
      </c>
      <c r="D4" t="inlineStr">
        <is>
          <t>自动选择（主线/中国）</t>
        </is>
      </c>
      <c r="F4" t="inlineStr">
        <is>
          <t>用于纸张项</t>
        </is>
      </c>
      <c r="G4" t="inlineStr">
        <is>
          <t>切换01表B13即可做敏感性（不改其他公式）</t>
        </is>
      </c>
    </row>
    <row r="5">
      <c r="A5" t="inlineStr">
        <is>
          <t>因子名称</t>
        </is>
      </c>
      <c r="B5" t="inlineStr">
        <is>
          <t>因子值</t>
        </is>
      </c>
      <c r="C5" t="inlineStr">
        <is>
          <t>单位</t>
        </is>
      </c>
      <c r="D5" t="inlineStr">
        <is>
          <t>来源</t>
        </is>
      </c>
      <c r="E5" t="inlineStr">
        <is>
          <t>年份</t>
        </is>
      </c>
      <c r="F5" t="inlineStr">
        <is>
          <t>适用范围</t>
        </is>
      </c>
      <c r="G5" t="inlineStr">
        <is>
          <t>备注</t>
        </is>
      </c>
    </row>
    <row r="6">
      <c r="A6" t="inlineStr">
        <is>
          <t>电力排放因子</t>
        </is>
      </c>
      <c r="B6" t="n">
        <v>0.5777</v>
      </c>
      <c r="C6" t="inlineStr">
        <is>
          <t>kgCO2e/kWh</t>
        </is>
      </c>
      <c r="D6" t="inlineStr">
        <is>
          <t>生态环境部等《公告2025年第19号》附件（2024年全国电力平均碳足迹因子）</t>
        </is>
      </c>
      <c r="E6" t="n">
        <v>2024</v>
      </c>
      <c r="F6" t="inlineStr">
        <is>
          <t>中国电网平均</t>
        </is>
      </c>
    </row>
    <row r="7">
      <c r="A7" t="inlineStr">
        <is>
          <t>纸张排放因子</t>
        </is>
      </c>
      <c r="B7" t="n">
        <v>1.29</v>
      </c>
      <c r="C7" t="inlineStr">
        <is>
          <t>kgCO2e/kg</t>
        </is>
      </c>
      <c r="D7" t="inlineStr">
        <is>
          <t>占位/待核验：当前基线1.29（缺权威cradle-to-gate来源）；仅作口径冻结基准。可追溯候选见Two Sides 1.619（行14/08_纸张因子证据）。</t>
        </is>
      </c>
      <c r="E7" t="inlineStr">
        <is>
          <t>v3.10</t>
        </is>
      </c>
      <c r="F7" t="inlineStr">
        <is>
          <t>欧洲RER / 全球参考</t>
        </is>
      </c>
      <c r="G7" t="inlineStr">
        <is>
          <t>主线值：国际通用基准，置信度极高；敏感性分析备选值：1.49(APP中国)</t>
        </is>
      </c>
    </row>
    <row r="8">
      <c r="A8" t="inlineStr">
        <is>
          <t>纸张排放因子_中国备选</t>
        </is>
      </c>
      <c r="B8" t="n">
        <v>1.49</v>
      </c>
      <c r="C8" t="inlineStr">
        <is>
          <t>kgCO2e/kg</t>
        </is>
      </c>
      <c r="D8" t="inlineStr">
        <is>
          <t>占位/待核验：当前中国备选1.49（缺权威中国情境来源）；仅用于敏感性。可追溯候选见Two Sides 1.619（行14/08_纸张因子证据）。</t>
        </is>
      </c>
      <c r="E8" t="inlineStr">
        <is>
          <t>2007-2009</t>
        </is>
      </c>
      <c r="F8" t="inlineStr">
        <is>
          <t>中国本土化</t>
        </is>
      </c>
      <c r="G8" t="inlineStr">
        <is>
          <t>敏感性分析备选值，反映中国高煤电占比能源结构</t>
        </is>
      </c>
    </row>
    <row r="9">
      <c r="A9" t="inlineStr">
        <is>
          <t>数字印刷墨粉排放因子</t>
        </is>
      </c>
      <c r="B9" t="inlineStr">
        <is>
          <t>待补/需人工核验</t>
        </is>
      </c>
      <c r="C9" t="inlineStr">
        <is>
          <t>kgCO2e/kg</t>
        </is>
      </c>
      <c r="G9" t="inlineStr">
        <is>
          <t>对应04_计算过程!F8（数字印刷墨粉）</t>
        </is>
      </c>
    </row>
    <row r="10">
      <c r="A10" t="inlineStr">
        <is>
          <t>胶印油墨排放因子</t>
        </is>
      </c>
      <c r="B10" t="inlineStr">
        <is>
          <t>待补/需人工核验</t>
        </is>
      </c>
      <c r="C10" t="inlineStr">
        <is>
          <t>kgCO2e/kg</t>
        </is>
      </c>
      <c r="G10" t="inlineStr">
        <is>
          <t>对应04_计算过程!F13（胶印油墨）</t>
        </is>
      </c>
    </row>
    <row r="11">
      <c r="A11" t="inlineStr">
        <is>
          <t>胶印版材排放因子</t>
        </is>
      </c>
      <c r="B11" t="inlineStr">
        <is>
          <t>待补/需人工核验</t>
        </is>
      </c>
      <c r="C11" t="inlineStr">
        <is>
          <t>kgCO2e/张</t>
        </is>
      </c>
      <c r="G11" t="inlineStr">
        <is>
          <t>对应04_计算过程!F14（胶印版材）</t>
        </is>
      </c>
    </row>
    <row r="12">
      <c r="A12" t="inlineStr">
        <is>
          <t>数字印刷设备制造排放（寿命分摊，预留）</t>
        </is>
      </c>
      <c r="B12" t="inlineStr">
        <is>
          <t>待补/非当前阶段</t>
        </is>
      </c>
      <c r="C12" t="inlineStr">
        <is>
          <t>kgCO2e/台</t>
        </is>
      </c>
      <c r="G12" t="inlineStr">
        <is>
          <t>非S1 MVP必需</t>
        </is>
      </c>
    </row>
    <row r="13">
      <c r="A13" t="inlineStr">
        <is>
          <t>胶印设备制造排放（寿命分摊，预留）</t>
        </is>
      </c>
      <c r="B13" t="inlineStr">
        <is>
          <t>待补/非当前阶段</t>
        </is>
      </c>
      <c r="C13" t="inlineStr">
        <is>
          <t>kgCO2e/台</t>
        </is>
      </c>
      <c r="G13" t="inlineStr">
        <is>
          <t>非S1 MVP必需</t>
        </is>
      </c>
    </row>
    <row r="14">
      <c r="A14" t="inlineStr">
        <is>
          <t>纸张排放因子_Two Sides（Coated Free/CWF）</t>
        </is>
      </c>
      <c r="B14">
        <f>'08_纸张因子证据'!E13</f>
        <v/>
      </c>
      <c r="C14" t="inlineStr">
        <is>
          <t>kgCO2e/kg</t>
        </is>
      </c>
      <c r="D14" t="inlineStr">
        <is>
          <t>Two Sides North America《Printing &amp; Writing Papers LCA Summary Report》Coated Free=1469 kgCO2eq/short ton，折算=1.619</t>
        </is>
      </c>
    </row>
    <row r="15">
      <c r="A15" t="inlineStr">
        <is>
          <t>1. 电力因子采用生态环境部最新发布值</t>
        </is>
      </c>
    </row>
    <row r="16">
      <c r="A16" t="inlineStr">
        <is>
          <t>2. 其他因子优先采用Ecoinvent数据库，其次文献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04_计算过程</t>
        </is>
      </c>
    </row>
    <row r="3">
      <c r="A3" t="inlineStr">
        <is>
          <t>碳足迹计算明细（公式追踪）</t>
        </is>
      </c>
    </row>
    <row r="5">
      <c r="A5" t="inlineStr">
        <is>
          <t>场景</t>
        </is>
      </c>
      <c r="B5" t="inlineStr">
        <is>
          <t>工艺</t>
        </is>
      </c>
      <c r="C5" t="inlineStr">
        <is>
          <t>排放源</t>
        </is>
      </c>
      <c r="D5" t="inlineStr">
        <is>
          <t>活动数据</t>
        </is>
      </c>
      <c r="E5" t="inlineStr">
        <is>
          <t>×</t>
        </is>
      </c>
      <c r="F5" t="inlineStr">
        <is>
          <t>排放因子</t>
        </is>
      </c>
      <c r="G5" t="inlineStr">
        <is>
          <t>=</t>
        </is>
      </c>
      <c r="H5" t="inlineStr">
        <is>
          <t>排放量(kgCO2e)</t>
        </is>
      </c>
      <c r="I5" t="inlineStr">
        <is>
          <t>占比</t>
        </is>
      </c>
      <c r="J5" t="inlineStr">
        <is>
          <t>数据来源</t>
        </is>
      </c>
      <c r="K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inlineStr">
        <is>
          <t>纸张</t>
        </is>
      </c>
      <c r="D6">
        <f>'02_活动数据输入'!D6</f>
        <v/>
      </c>
      <c r="E6" t="inlineStr">
        <is>
          <t>×</t>
        </is>
      </c>
      <c r="F6">
        <f>'03_排放因子库'!B4</f>
        <v/>
      </c>
      <c r="G6" t="inlineStr">
        <is>
          <t>=H6*J6</t>
        </is>
      </c>
      <c r="H6">
        <f>IFERROR(D6*F6,0)</f>
        <v/>
      </c>
    </row>
    <row r="7">
      <c r="A7" t="inlineStr">
        <is>
          <t>S1</t>
        </is>
      </c>
      <c r="B7" t="inlineStr">
        <is>
          <t>数字印刷</t>
        </is>
      </c>
      <c r="C7" t="inlineStr">
        <is>
          <t>电力</t>
        </is>
      </c>
      <c r="D7">
        <f>'02_活动数据输入'!E6</f>
        <v/>
      </c>
      <c r="E7" t="inlineStr">
        <is>
          <t>×</t>
        </is>
      </c>
      <c r="F7">
        <f>'03_排放因子库'!B6</f>
        <v/>
      </c>
      <c r="G7" t="inlineStr">
        <is>
          <t>=H7*J7</t>
        </is>
      </c>
      <c r="H7">
        <f>IFERROR(D7*F7,0)</f>
        <v/>
      </c>
    </row>
    <row r="8">
      <c r="A8" t="inlineStr">
        <is>
          <t>S1</t>
        </is>
      </c>
      <c r="B8" t="inlineStr">
        <is>
          <t>数字印刷</t>
        </is>
      </c>
      <c r="C8" t="inlineStr">
        <is>
          <t>墨粉</t>
        </is>
      </c>
      <c r="D8">
        <f>'02_活动数据输入'!F6</f>
        <v/>
      </c>
      <c r="E8" t="inlineStr">
        <is>
          <t>×</t>
        </is>
      </c>
      <c r="F8">
        <f>'03_排放因子库'!B9</f>
        <v/>
      </c>
      <c r="G8" t="inlineStr">
        <is>
          <t>=H8*J8</t>
        </is>
      </c>
      <c r="H8">
        <f>IFERROR(D8*F8,0)</f>
        <v/>
      </c>
    </row>
    <row r="9">
      <c r="A9" t="inlineStr">
        <is>
          <t>S1</t>
        </is>
      </c>
      <c r="B9" t="inlineStr">
        <is>
          <t>数字印刷</t>
        </is>
      </c>
      <c r="C9" t="inlineStr">
        <is>
          <t>版材</t>
        </is>
      </c>
      <c r="D9" t="n">
        <v>0</v>
      </c>
      <c r="E9" t="inlineStr">
        <is>
          <t>×</t>
        </is>
      </c>
      <c r="F9" t="n">
        <v>0</v>
      </c>
      <c r="G9" t="inlineStr">
        <is>
          <t>=</t>
        </is>
      </c>
      <c r="H9">
        <f>IFERROR(D9*F9,0)</f>
        <v/>
      </c>
      <c r="I9" t="inlineStr">
        <is>
          <t>0%</t>
        </is>
      </c>
      <c r="J9" t="inlineStr">
        <is>
          <t>免版材</t>
        </is>
      </c>
    </row>
    <row r="11">
      <c r="A11" t="inlineStr">
        <is>
          <t>S1</t>
        </is>
      </c>
      <c r="B11" t="inlineStr">
        <is>
          <t>胶印</t>
        </is>
      </c>
      <c r="C11" t="inlineStr">
        <is>
          <t>纸张</t>
        </is>
      </c>
      <c r="D11">
        <f>'02_活动数据输入'!D7</f>
        <v/>
      </c>
      <c r="E11" t="inlineStr">
        <is>
          <t>×</t>
        </is>
      </c>
      <c r="F11">
        <f>'03_排放因子库'!B4</f>
        <v/>
      </c>
      <c r="G11" t="inlineStr">
        <is>
          <t>=H11*J11</t>
        </is>
      </c>
      <c r="H11">
        <f>IFERROR(D11*F11,0)</f>
        <v/>
      </c>
    </row>
    <row r="12">
      <c r="A12" t="inlineStr">
        <is>
          <t>S1</t>
        </is>
      </c>
      <c r="B12" t="inlineStr">
        <is>
          <t>胶印</t>
        </is>
      </c>
      <c r="C12" t="inlineStr">
        <is>
          <t>电力</t>
        </is>
      </c>
      <c r="D12">
        <f>'02_活动数据输入'!E7</f>
        <v/>
      </c>
      <c r="E12" t="inlineStr">
        <is>
          <t>×</t>
        </is>
      </c>
      <c r="F12">
        <f>'03_排放因子库'!B6</f>
        <v/>
      </c>
      <c r="G12" t="inlineStr">
        <is>
          <t>=H12*J12</t>
        </is>
      </c>
      <c r="H12">
        <f>IFERROR(D12*F12,0)</f>
        <v/>
      </c>
    </row>
    <row r="13">
      <c r="A13" t="inlineStr">
        <is>
          <t>S1</t>
        </is>
      </c>
      <c r="B13" t="inlineStr">
        <is>
          <t>胶印</t>
        </is>
      </c>
      <c r="C13" t="inlineStr">
        <is>
          <t>油墨</t>
        </is>
      </c>
      <c r="D13">
        <f>'02_活动数据输入'!F7</f>
        <v/>
      </c>
      <c r="E13" t="inlineStr">
        <is>
          <t>×</t>
        </is>
      </c>
      <c r="F13">
        <f>'03_排放因子库'!B10</f>
        <v/>
      </c>
      <c r="G13" t="inlineStr">
        <is>
          <t>=H13*J13</t>
        </is>
      </c>
      <c r="H13">
        <f>IFERROR(D13*F13,0)</f>
        <v/>
      </c>
    </row>
    <row r="14">
      <c r="A14" t="inlineStr">
        <is>
          <t>S1</t>
        </is>
      </c>
      <c r="B14" t="inlineStr">
        <is>
          <t>胶印</t>
        </is>
      </c>
      <c r="C14" t="inlineStr">
        <is>
          <t>版材</t>
        </is>
      </c>
      <c r="D14">
        <f>'02_活动数据输入'!G7</f>
        <v/>
      </c>
      <c r="E14" t="inlineStr">
        <is>
          <t>×</t>
        </is>
      </c>
      <c r="F14">
        <f>'03_排放因子库'!B11</f>
        <v/>
      </c>
      <c r="G14" t="inlineStr">
        <is>
          <t>=H14*J14</t>
        </is>
      </c>
      <c r="H14">
        <f>IFERROR(D14*F14,0)</f>
        <v/>
      </c>
    </row>
    <row r="16">
      <c r="A16" t="inlineStr">
        <is>
          <t>计算逻辑说明：</t>
        </is>
      </c>
    </row>
    <row r="17">
      <c r="A17" t="inlineStr">
        <is>
          <t>1. 排放量 = 活动数据 × 排放因子</t>
        </is>
      </c>
    </row>
    <row r="18">
      <c r="A18" t="inlineStr">
        <is>
          <t>2. 纸张活动数据已含废品率调整</t>
        </is>
      </c>
    </row>
    <row r="19">
      <c r="A19" t="inlineStr">
        <is>
          <t>3. 所有公式引用上游sheet，可追踪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05_结果汇总</t>
        </is>
      </c>
    </row>
    <row r="3">
      <c r="A3" t="inlineStr">
        <is>
          <t>场景S1 碳足迹对比结果</t>
        </is>
      </c>
    </row>
    <row r="5">
      <c r="A5" t="inlineStr">
        <is>
          <t>场景编号</t>
        </is>
      </c>
      <c r="B5" t="inlineStr">
        <is>
          <t>工艺类型</t>
        </is>
      </c>
      <c r="C5" t="inlineStr">
        <is>
          <t>功能单位</t>
        </is>
      </c>
      <c r="D5" t="inlineStr">
        <is>
          <t>碳足迹(kgCO2e/1000印面)</t>
        </is>
      </c>
      <c r="E5" t="inlineStr">
        <is>
          <t>单位碳足迹(gCO2e/印面)</t>
        </is>
      </c>
      <c r="F5" t="inlineStr">
        <is>
          <t>主要排放源</t>
        </is>
      </c>
      <c r="G5" t="inlineStr">
        <is>
          <t>数据来源</t>
        </is>
      </c>
      <c r="H5" t="inlineStr">
        <is>
          <t>备注</t>
        </is>
      </c>
    </row>
    <row r="6">
      <c r="A6" t="inlineStr">
        <is>
          <t>S1</t>
        </is>
      </c>
      <c r="B6" t="inlineStr">
        <is>
          <t>数字印刷</t>
        </is>
      </c>
      <c r="C6" t="inlineStr">
        <is>
          <t>1000印面（归一）</t>
        </is>
      </c>
      <c r="D6" t="n">
        <v>8.15</v>
      </c>
      <c r="E6" t="n">
        <v>8.15</v>
      </c>
      <c r="F6" t="inlineStr">
        <is>
          <t>电力/纸张</t>
        </is>
      </c>
      <c r="G6" t="inlineStr">
        <is>
          <t>V2-纸张+电力（电耗占位可替换）</t>
        </is>
      </c>
      <c r="H6" t="inlineStr">
        <is>
          <t>电耗为文献区间折算占位（VTT Table 4→kWh/1000张双面参考流）；结果按“每张=2印面”归一为1000印面。缺失项按0并在正文披露。</t>
        </is>
      </c>
    </row>
    <row r="7">
      <c r="A7" t="inlineStr">
        <is>
          <t>S1</t>
        </is>
      </c>
      <c r="B7" t="inlineStr">
        <is>
          <t>胶印</t>
        </is>
      </c>
      <c r="C7" t="inlineStr">
        <is>
          <t>1000印面（归一）</t>
        </is>
      </c>
      <c r="D7" t="n">
        <v>9.635</v>
      </c>
      <c r="E7" t="n">
        <v>9.635</v>
      </c>
      <c r="F7" t="inlineStr">
        <is>
          <t>纸张/电力/版材</t>
        </is>
      </c>
      <c r="G7" t="inlineStr">
        <is>
          <t>V2-纸张+电力（电耗占位可替换）</t>
        </is>
      </c>
      <c r="H7" t="inlineStr">
        <is>
          <t>电耗为文献区间折算占位（VTT Table 4→kWh/1000张双面参考流）；结果按“每张=2印面”归一为1000印面。缺失项按0并在正文披露。</t>
        </is>
      </c>
    </row>
    <row r="9">
      <c r="A9" t="inlineStr">
        <is>
          <t>对比结论（提交版，主线情景已固化）</t>
        </is>
      </c>
      <c r="B9" t="inlineStr">
        <is>
          <t>主线：纸张cradle-to-gate + 印刷过程用电（不含后道/耗材等缺失项）；结果区已固化为数值以保证与Word/PDF一致。</t>
        </is>
      </c>
    </row>
    <row r="11">
      <c r="A11" t="inlineStr">
        <is>
          <t>指标</t>
        </is>
      </c>
      <c r="B11" t="inlineStr">
        <is>
          <t>数字印刷</t>
        </is>
      </c>
      <c r="C11" t="inlineStr">
        <is>
          <t>胶印</t>
        </is>
      </c>
      <c r="D11" t="inlineStr">
        <is>
          <t>差值</t>
        </is>
      </c>
      <c r="E11" t="inlineStr">
        <is>
          <t>结论</t>
        </is>
      </c>
    </row>
    <row r="12">
      <c r="A12" t="inlineStr">
        <is>
          <t>碳足迹（kgCO2e/1000印面）</t>
        </is>
      </c>
      <c r="B12" t="n">
        <v>8.15</v>
      </c>
      <c r="C12" t="n">
        <v>9.630000000000001</v>
      </c>
      <c r="D12" t="n">
        <v>1.49</v>
      </c>
      <c r="E12" t="inlineStr">
        <is>
          <t>数字印刷更低</t>
        </is>
      </c>
    </row>
    <row r="13">
      <c r="A13" t="inlineStr">
        <is>
          <t>碳足迹（kgCO2e/1000张A4双面=2000印面）</t>
        </is>
      </c>
      <c r="B13" t="n">
        <v>16.3</v>
      </c>
      <c r="C13" t="n">
        <v>19.27</v>
      </c>
      <c r="D13" t="n">
        <v>2.97</v>
      </c>
      <c r="E13" t="inlineStr">
        <is>
          <t>数字印刷更低</t>
        </is>
      </c>
    </row>
    <row r="15">
      <c r="A15" t="inlineStr">
        <is>
          <t>注：如需复算/敏感性，请在“07_敏感性分析”查看不同情景；本提交版仅固化主线结果用于答辩复核。</t>
        </is>
      </c>
    </row>
    <row r="16">
      <c r="A16" t="inlineStr">
        <is>
          <t>换算：1000张A4双面=2000印面（主线占位）</t>
        </is>
      </c>
    </row>
    <row r="17">
      <c r="A17" t="inlineStr">
        <is>
          <t>工艺</t>
        </is>
      </c>
      <c r="B17" t="inlineStr">
        <is>
          <t>合计(kgCO2e/1000张双面)</t>
        </is>
      </c>
    </row>
    <row r="18">
      <c r="A18" t="inlineStr">
        <is>
          <t>数字印刷</t>
        </is>
      </c>
      <c r="B18" t="n">
        <v>16.3</v>
      </c>
    </row>
    <row r="19">
      <c r="A19" t="inlineStr">
        <is>
          <t>胶印</t>
        </is>
      </c>
      <c r="B19" t="n">
        <v>19.27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06_数据来源留痕</t>
        </is>
      </c>
    </row>
    <row r="3">
      <c r="A3" t="inlineStr">
        <is>
          <t>数据项</t>
        </is>
      </c>
      <c r="B3" t="inlineStr">
        <is>
          <t>数值/状态</t>
        </is>
      </c>
      <c r="C3" t="inlineStr">
        <is>
          <t>来源类型</t>
        </is>
      </c>
      <c r="D3" t="inlineStr">
        <is>
          <t>具体来源</t>
        </is>
      </c>
      <c r="E3" t="inlineStr">
        <is>
          <t>获取日期</t>
        </is>
      </c>
      <c r="F3" t="inlineStr">
        <is>
          <t>可信度</t>
        </is>
      </c>
      <c r="G3" t="inlineStr">
        <is>
          <t>备注</t>
        </is>
      </c>
    </row>
    <row r="4">
      <c r="A4" t="inlineStr">
        <is>
          <t>功能单位定义</t>
        </is>
      </c>
      <c r="B4" t="inlineStr">
        <is>
          <t>参考流：1000张A4双面（=2000印面）；报告口径：1000印面（归一）</t>
        </is>
      </c>
      <c r="C4" t="inlineStr">
        <is>
          <t>标准</t>
        </is>
      </c>
      <c r="D4" t="inlineStr">
        <is>
          <t>ISO 16759</t>
        </is>
      </c>
      <c r="E4" t="inlineStr">
        <is>
          <t>2026-02-23</t>
        </is>
      </c>
      <c r="F4" t="inlineStr">
        <is>
          <t>高</t>
        </is>
      </c>
      <c r="G4" t="inlineStr">
        <is>
          <t>已锁定（无需手动选择）</t>
        </is>
      </c>
    </row>
    <row r="5">
      <c r="A5" t="inlineStr">
        <is>
          <t>电力排放因子</t>
        </is>
      </c>
      <c r="B5" t="n">
        <v>0.5777</v>
      </c>
      <c r="C5" t="inlineStr">
        <is>
          <t>官方</t>
        </is>
      </c>
      <c r="D5" t="inlineStr">
        <is>
          <t>生态环境部等《公告2025年第19号》附件PDF《2024年全国电力碳足迹因子》（全国平均0.5777 kgCO2e/kWh）</t>
        </is>
      </c>
      <c r="E5" t="inlineStr">
        <is>
          <t>2026-02-27</t>
        </is>
      </c>
      <c r="F5" t="inlineStr">
        <is>
          <t>高</t>
        </is>
      </c>
      <c r="G5" t="inlineStr">
        <is>
          <t>已锁定</t>
        </is>
      </c>
    </row>
    <row r="6">
      <c r="A6" t="inlineStr">
        <is>
          <t>数字印刷-纸张消耗</t>
        </is>
      </c>
      <c r="B6" t="inlineStr">
        <is>
          <t>待补</t>
        </is>
      </c>
      <c r="G6" t="inlineStr">
        <is>
          <t>需实测或文献</t>
        </is>
      </c>
    </row>
    <row r="7">
      <c r="A7" t="inlineStr">
        <is>
          <t>数字印刷-电耗</t>
        </is>
      </c>
      <c r="B7" t="n">
        <v>6.13</v>
      </c>
      <c r="C7" t="inlineStr">
        <is>
          <t>文献区间+折算（按吨→按功能单位）</t>
        </is>
      </c>
      <c r="D7" t="inlineStr">
        <is>
          <t>VTT Research Notes 2560 (Pihkola et al., 2010) Table 4: electrophotography energy consumption 590–650 kWh/tonne printed products; converted using FU paper mass.</t>
        </is>
      </c>
      <c r="E7" t="inlineStr">
        <is>
          <t>2026-02-26</t>
        </is>
      </c>
      <c r="F7" t="inlineStr">
        <is>
          <t>中（公开手册+折算；建议实测替换）</t>
        </is>
      </c>
      <c r="G7" t="inlineStr">
        <is>
          <t>需设备参数</t>
        </is>
      </c>
    </row>
    <row r="8">
      <c r="A8" t="inlineStr">
        <is>
          <t>数字印刷-墨粉消耗</t>
        </is>
      </c>
      <c r="B8" t="inlineStr">
        <is>
          <t>待补</t>
        </is>
      </c>
      <c r="G8" t="inlineStr">
        <is>
          <t>需实测</t>
        </is>
      </c>
    </row>
    <row r="9">
      <c r="A9" t="inlineStr">
        <is>
          <t>胶印-纸张消耗</t>
        </is>
      </c>
      <c r="B9" t="inlineStr">
        <is>
          <t>待补</t>
        </is>
      </c>
      <c r="G9" t="inlineStr">
        <is>
          <t>需实测或文献</t>
        </is>
      </c>
    </row>
    <row r="10">
      <c r="A10" t="inlineStr">
        <is>
          <t>胶印-电耗</t>
        </is>
      </c>
      <c r="B10" t="n">
        <v>9.73</v>
      </c>
      <c r="C10" t="inlineStr">
        <is>
          <t>文献区间+折算（按吨→按功能单位）</t>
        </is>
      </c>
      <c r="D10" t="inlineStr">
        <is>
          <t>VTT Research Notes 2560 (Pihkola et al., 2010) Table 4: sheetfed offset energy consumption 800–1040 kWh/tonne printed products; converted using FU paper mass.</t>
        </is>
      </c>
      <c r="E10" t="inlineStr">
        <is>
          <t>2026-02-26</t>
        </is>
      </c>
      <c r="F10" t="inlineStr">
        <is>
          <t>中（文献汇总/范围；建议用设备手册或实测替换）</t>
        </is>
      </c>
      <c r="G10" t="inlineStr">
        <is>
          <t>需设备参数</t>
        </is>
      </c>
    </row>
    <row r="11">
      <c r="A11" t="inlineStr">
        <is>
          <t>胶印-油墨消耗</t>
        </is>
      </c>
      <c r="B11" t="inlineStr">
        <is>
          <t>待补</t>
        </is>
      </c>
      <c r="G11" t="inlineStr">
        <is>
          <t>需实测</t>
        </is>
      </c>
    </row>
    <row r="12">
      <c r="A12" t="inlineStr">
        <is>
          <t>胶印-版材消耗</t>
        </is>
      </c>
      <c r="B12" t="inlineStr">
        <is>
          <t>待补</t>
        </is>
      </c>
      <c r="G12" t="inlineStr">
        <is>
          <t>需实测</t>
        </is>
      </c>
    </row>
    <row r="13">
      <c r="A13" t="inlineStr">
        <is>
          <t>纸张排放因子</t>
        </is>
      </c>
      <c r="B13" t="inlineStr">
        <is>
          <t>基线占位：1.29；中国备选占位：1.49；可追溯候选：1.619（Two Sides Coated Free/CWF）；量级对照：0.942（BioResources US 252 mills 跨纸种平均）</t>
        </is>
      </c>
      <c r="C13" t="inlineStr">
        <is>
          <t>行业报告+期刊论文（证据链）</t>
        </is>
      </c>
      <c r="D13" t="inlineStr">
        <is>
          <t>Two Sides North America《Printing &amp; Writing Papers – Life-Cycle Assessment Summary Report》Coated Free=1469 kgCO2eq/short ton ⇒ 1.619 kgCO2e/kg；BioResources (Tomberlin et al., 2020) 942 kgCO2eq/metric ton ⇒ 0.942 kgCO2e/kg。（1.29/1.49仍标‘待核验’，待后续找到更贴合铜版纸/中国情境的EPD/数据库条目）</t>
        </is>
      </c>
      <c r="E13" t="inlineStr">
        <is>
          <t>2026-03-02</t>
        </is>
      </c>
      <c r="G13" t="inlineStr">
        <is>
          <t>需数据库/文献</t>
        </is>
      </c>
    </row>
    <row r="14">
      <c r="A14" t="inlineStr">
        <is>
          <t>油墨/墨粉排放因子</t>
        </is>
      </c>
      <c r="B14" t="inlineStr">
        <is>
          <t>待补</t>
        </is>
      </c>
      <c r="G14" t="inlineStr">
        <is>
          <t>需数据库/文献</t>
        </is>
      </c>
    </row>
    <row r="15">
      <c r="A15" t="inlineStr">
        <is>
          <t>版材排放因子</t>
        </is>
      </c>
      <c r="B15" t="inlineStr">
        <is>
          <t>待补</t>
        </is>
      </c>
      <c r="G15" t="inlineStr">
        <is>
          <t>需数据库/文献</t>
        </is>
      </c>
    </row>
    <row r="16">
      <c r="A16" t="inlineStr">
        <is>
          <t>电力CO2因子（区域/省级）</t>
        </is>
      </c>
      <c r="B16" t="inlineStr">
        <is>
          <t>见07_敏感性分析</t>
        </is>
      </c>
      <c r="C16" t="inlineStr">
        <is>
          <t>官方</t>
        </is>
      </c>
      <c r="D16" t="inlineStr">
        <is>
          <t>生态环境部、国家统计局《公告2025年第47号》附件PDF《2023年电力二氧化碳排放因子》（全国/区域/省级，kgCO2/kWh）</t>
        </is>
      </c>
      <c r="E16" t="inlineStr">
        <is>
          <t>2026-02-27</t>
        </is>
      </c>
    </row>
    <row r="17">
      <c r="A17" t="inlineStr">
        <is>
          <t>胶印-电耗（设备级校验）</t>
        </is>
      </c>
      <c r="B17" t="n">
        <v>8</v>
      </c>
      <c r="C17" t="inlineStr">
        <is>
          <t>企业官网/设备能效页面</t>
        </is>
      </c>
      <c r="D17" t="inlineStr">
        <is>
          <t>Heidelberg Speedmaster energy efficiency：2020→8 kWh/1000 sheets。URL: https://www.heidelberg.com/global/en/print_and_packaging/products/offset_printing/energy_efficiency/speedmaster_energy_efficiency.jsp</t>
        </is>
      </c>
      <c r="E17" t="inlineStr">
        <is>
          <t>2026-03-03</t>
        </is>
      </c>
      <c r="F17" t="inlineStr">
        <is>
          <t>中（设备级口径，仅校验）</t>
        </is>
      </c>
      <c r="G17" t="inlineStr">
        <is>
          <t>仅作2020+量级校验，不进入主线计算</t>
        </is>
      </c>
    </row>
    <row r="18">
      <c r="A18" t="inlineStr">
        <is>
          <t>胶印-电耗（企业级阈值，上限）</t>
        </is>
      </c>
      <c r="B18" t="inlineStr">
        <is>
          <t>Advanced 900；Basic 1700 kWh/吨购入基材/年</t>
        </is>
      </c>
      <c r="C18" t="inlineStr">
        <is>
          <t>生态标签背景文件</t>
        </is>
      </c>
      <c r="D18" t="inlineStr">
        <is>
          <t>Nordic Swan Ecolabel 041 background document（Printing companies and printed matter）URL: https://www.nordic-swan-ecolabel.org/4afebe/contentassets/956d503409fb4a6bb1bb38762bb78da5/background-document_041_printing-companies-and-printed-matter-041_english.pdf</t>
        </is>
      </c>
      <c r="E18" t="inlineStr">
        <is>
          <t>2026-03-03</t>
        </is>
      </c>
      <c r="F18" t="inlineStr">
        <is>
          <t>中（企业级口径，讨论上限）</t>
        </is>
      </c>
      <c r="G18" t="inlineStr">
        <is>
          <t>口径含全厂外购能源；按年总能耗/年购入基材折算</t>
        </is>
      </c>
    </row>
    <row r="19">
      <c r="A19" t="inlineStr">
        <is>
          <t>数字印刷-电耗（企业级阈值，上限）</t>
        </is>
      </c>
      <c r="B19" t="inlineStr">
        <is>
          <t>Advanced 2100；Basic 3700 kWh/吨购入基材/年</t>
        </is>
      </c>
      <c r="C19" t="inlineStr">
        <is>
          <t>生态标签背景文件</t>
        </is>
      </c>
      <c r="D19" t="inlineStr">
        <is>
          <t>Nordic Swan Ecolabel 041 background document（Printing companies and printed matter）URL: https://www.nordic-swan-ecolabel.org/4afebe/contentassets/956d503409fb4a6bb1bb38762bb78da5/background-document_041_printing-companies-and-printed-matter-041_english.pdf</t>
        </is>
      </c>
      <c r="E19" t="inlineStr">
        <is>
          <t>2026-03-03</t>
        </is>
      </c>
      <c r="F19" t="inlineStr">
        <is>
          <t>中（企业级口径，讨论上限）</t>
        </is>
      </c>
      <c r="G19" t="inlineStr">
        <is>
          <t>同上；用于数字印刷情景上限</t>
        </is>
      </c>
    </row>
    <row r="20">
      <c r="A20" t="inlineStr">
        <is>
          <t>企业级阈值折算方法（到本FU）</t>
        </is>
      </c>
      <c r="B20" t="inlineStr">
        <is>
          <t>kWh/1000张 = (kWh/吨)×(本FU纸张消耗kg/1000)</t>
        </is>
      </c>
      <c r="C20" t="inlineStr">
        <is>
          <t>计算说明</t>
        </is>
      </c>
      <c r="D20" t="inlineStr">
        <is>
          <t>在02_活动数据输入中自动按纸张消耗折算（D6/D7）</t>
        </is>
      </c>
      <c r="E20" t="inlineStr">
        <is>
          <t>2026-03-03</t>
        </is>
      </c>
      <c r="F20" t="inlineStr">
        <is>
          <t>高</t>
        </is>
      </c>
      <c r="G20" t="inlineStr">
        <is>
          <t>用于开关“企业级极端(Nordic Swan)”的自动计算</t>
        </is>
      </c>
    </row>
    <row r="21">
      <c r="A21" t="inlineStr">
        <is>
          <t>电耗三档开关状态</t>
        </is>
      </c>
      <c r="B21" t="inlineStr">
        <is>
          <t>已预设=主线_文献占位(VTT)；设备级/企业级仅用于讨论章，不进入主线结果</t>
        </is>
      </c>
      <c r="C21" t="inlineStr">
        <is>
          <t>模型设置</t>
        </is>
      </c>
      <c r="D21" t="inlineStr">
        <is>
          <t>01_功能单位与情景!B14=估算；B15=主线_文献占位(VTT)</t>
        </is>
      </c>
      <c r="E21" t="inlineStr">
        <is>
          <t>2026-03-03</t>
        </is>
      </c>
      <c r="F21" t="inlineStr">
        <is>
          <t>高</t>
        </is>
      </c>
      <c r="G21" t="inlineStr">
        <is>
          <t>为答辩简化：用户无需选择；讨论章引用极端情景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07_敏感性分析（模板）</t>
        </is>
      </c>
    </row>
    <row r="3">
      <c r="A3" t="inlineStr">
        <is>
          <t>输入（自动引用主模型）</t>
        </is>
      </c>
    </row>
    <row r="4">
      <c r="A4" t="inlineStr">
        <is>
          <t>数字印刷电耗(kWh/1000张)</t>
        </is>
      </c>
      <c r="B4">
        <f>'02_活动数据输入'!E6</f>
        <v/>
      </c>
    </row>
    <row r="5">
      <c r="A5" t="inlineStr">
        <is>
          <t>胶印电耗(kWh/1000张)</t>
        </is>
      </c>
      <c r="B5">
        <f>'02_活动数据输入'!E7</f>
        <v/>
      </c>
    </row>
    <row r="6">
      <c r="A6" t="inlineStr">
        <is>
          <t>数字印刷纸张消耗(kg/1000张)</t>
        </is>
      </c>
      <c r="B6">
        <f>'02_活动数据输入'!D6</f>
        <v/>
      </c>
    </row>
    <row r="7">
      <c r="A7" t="inlineStr">
        <is>
          <t>胶印纸张消耗(kg/1000张)</t>
        </is>
      </c>
      <c r="B7">
        <f>'02_活动数据输入'!D7</f>
        <v/>
      </c>
    </row>
    <row r="9">
      <c r="A9" t="inlineStr">
        <is>
          <t>纸张因子（主线 vs 中国备选）</t>
        </is>
      </c>
    </row>
    <row r="10">
      <c r="A10" t="inlineStr">
        <is>
          <t>纸张因子_主线</t>
        </is>
      </c>
      <c r="B10">
        <f>'03_排放因子库'!B7</f>
        <v/>
      </c>
    </row>
    <row r="11">
      <c r="A11" t="inlineStr">
        <is>
          <t>纸张因子_中国备选</t>
        </is>
      </c>
      <c r="B11">
        <f>'03_排放因子库'!B8</f>
        <v/>
      </c>
    </row>
    <row r="12">
      <c r="A12" t="inlineStr">
        <is>
          <t>纸张因子_Two Sides(CWF)</t>
        </is>
      </c>
      <c r="B12">
        <f>'03_排放因子库'!B14</f>
        <v/>
      </c>
    </row>
    <row r="13">
      <c r="A13" t="inlineStr">
        <is>
          <t>电力因子（主线CFP + CO2口径敏感性）</t>
        </is>
      </c>
    </row>
    <row r="14">
      <c r="A14" t="inlineStr">
        <is>
          <t>CFP全国电力平均碳足迹因子(2024, kgCO2e/kWh)</t>
        </is>
      </c>
      <c r="B14">
        <f>'03_排放因子库'!B6</f>
        <v/>
      </c>
      <c r="D14" t="inlineStr">
        <is>
          <t>区域(用于CO2敏感性)</t>
        </is>
      </c>
      <c r="E14" t="inlineStr">
        <is>
          <t>因子(kgCO2/kWh)</t>
        </is>
      </c>
    </row>
    <row r="15">
      <c r="A15" t="inlineStr">
        <is>
          <t>CO2全国电力平均排放因子(2023, kgCO2/kWh)</t>
        </is>
      </c>
      <c r="B15" t="n">
        <v>0.5306</v>
      </c>
      <c r="D15" t="inlineStr">
        <is>
          <t>华北</t>
        </is>
      </c>
      <c r="E15" t="n">
        <v>0.6361</v>
      </c>
    </row>
    <row r="16">
      <c r="D16" t="inlineStr">
        <is>
          <t>东北</t>
        </is>
      </c>
      <c r="E16" t="n">
        <v>0.5122</v>
      </c>
    </row>
    <row r="17">
      <c r="A17" t="inlineStr">
        <is>
          <t>CO2区域选择</t>
        </is>
      </c>
      <c r="B17" t="inlineStr">
        <is>
          <t>华东</t>
        </is>
      </c>
      <c r="D17" t="inlineStr">
        <is>
          <t>华东</t>
        </is>
      </c>
      <c r="E17" t="n">
        <v>0.55</v>
      </c>
    </row>
    <row r="18">
      <c r="A18" t="inlineStr">
        <is>
          <t>CO2区域因子(kgCO2/kWh)</t>
        </is>
      </c>
      <c r="B18">
        <f>IFERROR(VLOOKUP($B$17,$D$15:$E$21,2,FALSE),"待补")</f>
        <v/>
      </c>
      <c r="D18" t="inlineStr">
        <is>
          <t>华中</t>
        </is>
      </c>
      <c r="E18" t="n">
        <v>0.5271</v>
      </c>
    </row>
    <row r="19">
      <c r="D19" t="inlineStr">
        <is>
          <t>西北</t>
        </is>
      </c>
      <c r="E19" t="n">
        <v>0.5543</v>
      </c>
    </row>
    <row r="20">
      <c r="A20" t="inlineStr">
        <is>
          <t>CO2省级选择</t>
        </is>
      </c>
      <c r="B20" t="inlineStr">
        <is>
          <t>四川</t>
        </is>
      </c>
      <c r="D20" t="inlineStr">
        <is>
          <t>南方</t>
        </is>
      </c>
      <c r="E20" t="n">
        <v>0.4042</v>
      </c>
    </row>
    <row r="21">
      <c r="A21" t="inlineStr">
        <is>
          <t>CO2省级因子(kgCO2/kWh)</t>
        </is>
      </c>
      <c r="B21">
        <f>IFERROR(VLOOKUP($B$20,$D$25:$E$54,2,FALSE),"待补")</f>
        <v/>
      </c>
      <c r="D21" t="inlineStr">
        <is>
          <t>西南</t>
        </is>
      </c>
      <c r="E21" t="n">
        <v>0.2472</v>
      </c>
    </row>
    <row r="23">
      <c r="D23" t="inlineStr">
        <is>
          <t>省份(用于CO2敏感性)</t>
        </is>
      </c>
      <c r="E23" t="inlineStr">
        <is>
          <t>因子(kgCO2/kWh)</t>
        </is>
      </c>
    </row>
    <row r="25">
      <c r="D25" t="inlineStr">
        <is>
          <t>北京</t>
        </is>
      </c>
      <c r="E25" t="n">
        <v>0.5554</v>
      </c>
    </row>
    <row r="26">
      <c r="D26" t="inlineStr">
        <is>
          <t>天津</t>
        </is>
      </c>
      <c r="E26" t="n">
        <v>0.6796</v>
      </c>
    </row>
    <row r="27">
      <c r="D27" t="inlineStr">
        <is>
          <t>河北</t>
        </is>
      </c>
      <c r="E27" t="n">
        <v>0.6516</v>
      </c>
    </row>
    <row r="28">
      <c r="D28" t="inlineStr">
        <is>
          <t>山西</t>
        </is>
      </c>
      <c r="E28" t="n">
        <v>0.6634</v>
      </c>
    </row>
    <row r="29">
      <c r="D29" t="inlineStr">
        <is>
          <t>内蒙古</t>
        </is>
      </c>
      <c r="E29" t="n">
        <v>0.6479</v>
      </c>
    </row>
    <row r="30">
      <c r="D30" t="inlineStr">
        <is>
          <t>辽宁</t>
        </is>
      </c>
      <c r="E30" t="n">
        <v>0.4878</v>
      </c>
    </row>
    <row r="31">
      <c r="D31" t="inlineStr">
        <is>
          <t>吉林</t>
        </is>
      </c>
      <c r="E31" t="n">
        <v>0.4671</v>
      </c>
    </row>
    <row r="32">
      <c r="D32" t="inlineStr">
        <is>
          <t>黑龙江</t>
        </is>
      </c>
      <c r="E32" t="n">
        <v>0.5229</v>
      </c>
    </row>
    <row r="33">
      <c r="D33" t="inlineStr">
        <is>
          <t>上海</t>
        </is>
      </c>
      <c r="E33" t="n">
        <v>0.5737</v>
      </c>
    </row>
    <row r="34">
      <c r="D34" t="inlineStr">
        <is>
          <t>江苏</t>
        </is>
      </c>
      <c r="E34" t="n">
        <v>0.5827</v>
      </c>
    </row>
    <row r="35">
      <c r="D35" t="inlineStr">
        <is>
          <t>浙江</t>
        </is>
      </c>
      <c r="E35" t="n">
        <v>0.4974</v>
      </c>
    </row>
    <row r="36">
      <c r="A36" t="inlineStr">
        <is>
          <t>电耗文献区间（VTT 2010 Table 4，kWh/tonne）</t>
        </is>
      </c>
      <c r="D36" t="inlineStr">
        <is>
          <t>安徽</t>
        </is>
      </c>
      <c r="E36" t="n">
        <v>0.6553</v>
      </c>
    </row>
    <row r="37">
      <c r="A37" t="inlineStr">
        <is>
          <t>数字印刷（电摄影）kWh/tonne</t>
        </is>
      </c>
      <c r="B37" t="inlineStr">
        <is>
          <t>590–650</t>
        </is>
      </c>
      <c r="D37" t="inlineStr">
        <is>
          <t>福建</t>
        </is>
      </c>
      <c r="E37" t="n">
        <v>0.4211</v>
      </c>
    </row>
    <row r="38">
      <c r="A38" t="inlineStr">
        <is>
          <t>胶印（平张胶印）kWh/tonne</t>
        </is>
      </c>
      <c r="B38" t="inlineStr">
        <is>
          <t>800–1040</t>
        </is>
      </c>
      <c r="D38" t="inlineStr">
        <is>
          <t>江西</t>
        </is>
      </c>
      <c r="E38" t="n">
        <v>0.5836</v>
      </c>
    </row>
    <row r="39">
      <c r="D39" t="inlineStr">
        <is>
          <t>山东</t>
        </is>
      </c>
      <c r="E39" t="n">
        <v>0.6191</v>
      </c>
    </row>
    <row r="40">
      <c r="A40" t="inlineStr">
        <is>
          <t>按功能单位折算（中值）kWh/1000张</t>
        </is>
      </c>
      <c r="D40" t="inlineStr">
        <is>
          <t>河南</t>
        </is>
      </c>
      <c r="E40" t="n">
        <v>0.5897</v>
      </c>
    </row>
    <row r="41">
      <c r="A41" t="inlineStr">
        <is>
          <t>数字印刷（中值）</t>
        </is>
      </c>
      <c r="B41" t="n">
        <v>6.13</v>
      </c>
      <c r="D41" t="inlineStr">
        <is>
          <t>湖北</t>
        </is>
      </c>
      <c r="E41" t="n">
        <v>0.4044</v>
      </c>
    </row>
    <row r="42">
      <c r="A42" t="inlineStr">
        <is>
          <t>胶印（中值）</t>
        </is>
      </c>
      <c r="B42" t="n">
        <v>9.73</v>
      </c>
      <c r="D42" t="inlineStr">
        <is>
          <t>湖南</t>
        </is>
      </c>
      <c r="E42" t="n">
        <v>0.4976</v>
      </c>
    </row>
    <row r="43">
      <c r="D43" t="inlineStr">
        <is>
          <t>广东</t>
        </is>
      </c>
      <c r="E43" t="n">
        <v>0.4419</v>
      </c>
    </row>
    <row r="44">
      <c r="D44" t="inlineStr">
        <is>
          <t>广西</t>
        </is>
      </c>
      <c r="E44" t="n">
        <v>0.4476</v>
      </c>
    </row>
    <row r="45">
      <c r="D45" t="inlineStr">
        <is>
          <t>海南</t>
        </is>
      </c>
      <c r="E45" t="n">
        <v>0.3648</v>
      </c>
    </row>
    <row r="46">
      <c r="D46" t="inlineStr">
        <is>
          <t>重庆</t>
        </is>
      </c>
      <c r="E46" t="n">
        <v>0.5581</v>
      </c>
    </row>
    <row r="47">
      <c r="D47" t="inlineStr">
        <is>
          <t>四川</t>
        </is>
      </c>
      <c r="E47" t="n">
        <v>0.1564</v>
      </c>
    </row>
    <row r="48">
      <c r="D48" t="inlineStr">
        <is>
          <t>贵州</t>
        </is>
      </c>
      <c r="E48" t="n">
        <v>0.5683</v>
      </c>
    </row>
    <row r="49">
      <c r="D49" t="inlineStr">
        <is>
          <t>云南</t>
        </is>
      </c>
      <c r="E49" t="n">
        <v>0.1333</v>
      </c>
    </row>
    <row r="50">
      <c r="A50" t="inlineStr">
        <is>
          <t>电耗情景开关（3档）</t>
        </is>
      </c>
      <c r="B50">
        <f>'01_功能单位与情景'!$B$15</f>
        <v/>
      </c>
      <c r="D50" t="inlineStr">
        <is>
          <t>陕西</t>
        </is>
      </c>
      <c r="E50" t="n">
        <v>0.6335</v>
      </c>
    </row>
    <row r="51">
      <c r="A51" t="inlineStr">
        <is>
          <t>企业级极端_数字印刷(kWh/1000张)</t>
        </is>
      </c>
      <c r="B51">
        <f>'02_活动数据输入'!$C$18</f>
        <v/>
      </c>
      <c r="D51" t="inlineStr">
        <is>
          <t>甘肃</t>
        </is>
      </c>
      <c r="E51" t="n">
        <v>0.4471</v>
      </c>
    </row>
    <row r="52">
      <c r="A52" t="inlineStr">
        <is>
          <t>企业级极端_胶印(kWh/1000张)</t>
        </is>
      </c>
      <c r="B52">
        <f>'02_活动数据输入'!$C$19</f>
        <v/>
      </c>
      <c r="D52" t="inlineStr">
        <is>
          <t>青海</t>
        </is>
      </c>
      <c r="E52" t="n">
        <v>0.1796</v>
      </c>
    </row>
    <row r="53">
      <c r="A53" t="inlineStr">
        <is>
          <t>设备级校验_胶印(Heidelberg, kWh/1000 sheets)</t>
        </is>
      </c>
      <c r="B53">
        <f>'02_活动数据输入'!$C$20</f>
        <v/>
      </c>
      <c r="D53" t="inlineStr">
        <is>
          <t>宁夏</t>
        </is>
      </c>
      <c r="E53" t="n">
        <v>0.6187</v>
      </c>
    </row>
    <row r="54">
      <c r="A54" t="inlineStr">
        <is>
          <t>说明</t>
        </is>
      </c>
      <c r="B54" t="inlineStr">
        <is>
          <t>企业级阈值含全厂外购能源（电/供暖/制冷/燃料等），与“设备级运行电耗”口径不同，仅建议作讨论上限。</t>
        </is>
      </c>
      <c r="D54" t="inlineStr">
        <is>
          <t>新疆</t>
        </is>
      </c>
      <c r="E54" t="n">
        <v>0.6021</v>
      </c>
    </row>
    <row r="60">
      <c r="A60" t="inlineStr">
        <is>
          <t>结果（kgCO2e/1000张）——纸张因子敏感性（电力因子用CFP主线）</t>
        </is>
      </c>
    </row>
    <row r="61">
      <c r="A61" t="inlineStr">
        <is>
          <t>工艺</t>
        </is>
      </c>
      <c r="B61" t="inlineStr">
        <is>
          <t>纸张因子</t>
        </is>
      </c>
      <c r="C61" t="inlineStr">
        <is>
          <t>纸张排放</t>
        </is>
      </c>
      <c r="D61" t="inlineStr">
        <is>
          <t>电力排放</t>
        </is>
      </c>
      <c r="E61" t="inlineStr">
        <is>
          <t>合计</t>
        </is>
      </c>
    </row>
    <row r="62">
      <c r="A62" t="inlineStr">
        <is>
          <t>数字印刷</t>
        </is>
      </c>
      <c r="B62">
        <f>B10</f>
        <v/>
      </c>
      <c r="C62" t="n">
        <v>12.758</v>
      </c>
      <c r="D62" t="n">
        <v>3.541</v>
      </c>
      <c r="E62" t="n">
        <v>16.299</v>
      </c>
    </row>
    <row r="63">
      <c r="A63" t="inlineStr">
        <is>
          <t>胶印</t>
        </is>
      </c>
      <c r="B63">
        <f>B10</f>
        <v/>
      </c>
      <c r="C63" t="n">
        <v>13.648</v>
      </c>
      <c r="D63" t="n">
        <v>5.621</v>
      </c>
      <c r="E63" t="n">
        <v>19.269</v>
      </c>
    </row>
    <row r="64">
      <c r="A64" t="inlineStr">
        <is>
          <t>数字印刷</t>
        </is>
      </c>
      <c r="B64">
        <f>B11</f>
        <v/>
      </c>
      <c r="C64" t="n">
        <v>14.736</v>
      </c>
      <c r="D64" t="n">
        <v>3.541</v>
      </c>
      <c r="E64" t="n">
        <v>18.277</v>
      </c>
    </row>
    <row r="65">
      <c r="A65" t="inlineStr">
        <is>
          <t>胶印</t>
        </is>
      </c>
      <c r="B65">
        <f>B11</f>
        <v/>
      </c>
      <c r="C65" t="n">
        <v>15.764</v>
      </c>
      <c r="D65" t="n">
        <v>5.621</v>
      </c>
      <c r="E65" t="n">
        <v>21.385</v>
      </c>
    </row>
    <row r="66">
      <c r="A66" t="inlineStr">
        <is>
          <t>数字印刷</t>
        </is>
      </c>
      <c r="B66">
        <f>B12</f>
        <v/>
      </c>
      <c r="C66" t="n">
        <v>16.012</v>
      </c>
      <c r="D66" t="n">
        <v>3.541</v>
      </c>
      <c r="E66" t="n">
        <v>19.553</v>
      </c>
    </row>
    <row r="67">
      <c r="A67" t="inlineStr">
        <is>
          <t>胶印</t>
        </is>
      </c>
      <c r="B67">
        <f>B12</f>
        <v/>
      </c>
      <c r="C67" t="n">
        <v>17.129</v>
      </c>
      <c r="D67" t="n">
        <v>5.621</v>
      </c>
      <c r="E67" t="n">
        <v>22.75</v>
      </c>
    </row>
    <row r="69">
      <c r="A69" t="inlineStr">
        <is>
          <t>注：CO2口径区域/省级因子用于敏感性对照（kgCO2/kWh），不等同于CFP/CO2e口径。</t>
        </is>
      </c>
    </row>
    <row r="72">
      <c r="A72" t="inlineStr">
        <is>
          <t>阈值分析（V2边界：纸张+电力；用于答辩解释“结论是否可能反转”）</t>
        </is>
      </c>
    </row>
    <row r="73">
      <c r="A73" t="inlineStr">
        <is>
          <t>说明</t>
        </is>
      </c>
      <c r="B73" t="inlineStr">
        <is>
          <t>当ΔCF=0时，胶印电耗阈值 kWh_offset* = kWh_digital − (Δm×EF_paper)/EF_elec。Δm=胶印纸张-数字纸张。</t>
        </is>
      </c>
    </row>
    <row r="75">
      <c r="A75" t="inlineStr">
        <is>
          <t>输入引用</t>
        </is>
      </c>
    </row>
    <row r="76">
      <c r="A76" t="inlineStr">
        <is>
          <t>Δm(kg/1000张)</t>
        </is>
      </c>
      <c r="B76">
        <f>B7-B6</f>
        <v/>
      </c>
    </row>
    <row r="77">
      <c r="A77" t="inlineStr">
        <is>
          <t>kWh_digital</t>
        </is>
      </c>
      <c r="B77">
        <f>B4</f>
        <v/>
      </c>
    </row>
    <row r="78">
      <c r="A78" t="inlineStr">
        <is>
          <t>EF_elec (CFP)</t>
        </is>
      </c>
      <c r="B78">
        <f>B14</f>
        <v/>
      </c>
    </row>
    <row r="80">
      <c r="A80" t="inlineStr">
        <is>
          <t>电耗三档口径对照（合计：kgCO2e/1000印面，纸张因子=1.29）</t>
        </is>
      </c>
      <c r="B80" t="inlineStr">
        <is>
          <t>EF_paper</t>
        </is>
      </c>
      <c r="C80" t="inlineStr">
        <is>
          <t>kWh_offset* (kWh/1000张)</t>
        </is>
      </c>
    </row>
    <row r="81">
      <c r="A81" t="inlineStr">
        <is>
          <t>情景档位</t>
        </is>
      </c>
      <c r="B81" t="inlineStr">
        <is>
          <t>数字印刷</t>
        </is>
      </c>
      <c r="C81" t="inlineStr">
        <is>
          <t>胶印</t>
        </is>
      </c>
      <c r="D81" t="inlineStr">
        <is>
          <t>差值（胶印-数字）</t>
        </is>
      </c>
    </row>
    <row r="82">
      <c r="A82" t="inlineStr">
        <is>
          <t>主线（VTT 占位，过程用电）</t>
        </is>
      </c>
      <c r="B82" t="n">
        <v>8.15</v>
      </c>
      <c r="C82" t="n">
        <v>9.630000000000001</v>
      </c>
      <c r="D82" t="n">
        <v>1.48</v>
      </c>
    </row>
    <row r="83">
      <c r="A83" t="inlineStr">
        <is>
          <t>设备级校验（Heidelberg 8 kWh/1000 sheets，仅量级提示）</t>
        </is>
      </c>
      <c r="B83" t="inlineStr">
        <is>
          <t>8 kWh/1000 sheets</t>
        </is>
      </c>
      <c r="C83" t="inlineStr">
        <is>
          <t>-</t>
        </is>
      </c>
      <c r="D83" t="inlineStr">
        <is>
          <t>不纳入主线</t>
        </is>
      </c>
    </row>
    <row r="84">
      <c r="A84" t="inlineStr">
        <is>
          <t>企业级极端（Nordic Swan 阈值折算，上限口径）</t>
        </is>
      </c>
      <c r="B84" t="n">
        <v>16.95</v>
      </c>
      <c r="C84" t="n">
        <v>12.02</v>
      </c>
      <c r="D84" t="n">
        <v>-4.93</v>
      </c>
    </row>
    <row r="85">
      <c r="A85" t="inlineStr">
        <is>
          <t>注：企业级口径含全厂能耗分摊，不能与设备级过程用电直接混用；仅用于上限敏感性讨论。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纸张排放因子证据与换算（用于157g铜版纸/涂布印刷纸）</t>
        </is>
      </c>
    </row>
    <row r="3">
      <c r="A3" s="2" t="inlineStr">
        <is>
          <t>说明：</t>
        </is>
      </c>
    </row>
    <row r="4">
      <c r="A4" s="3" t="inlineStr">
        <is>
          <t>- 边界：优先使用 cradle-to-gate / A1-A3（上游材料）口径；若来源为仅能源/仅CO2，则必须标注。
- 本表不强制改动主线口径；用于把Gemini调研结论落到可追溯证据与可复算换算。</t>
        </is>
      </c>
    </row>
    <row r="5"/>
    <row r="6"/>
    <row r="8">
      <c r="A8" s="2" t="inlineStr">
        <is>
          <t>证据源1：Two Sides North America（Cradle-to-Gate industry average, per bone-dry short ton）</t>
        </is>
      </c>
    </row>
    <row r="9">
      <c r="A9" s="3" t="inlineStr">
        <is>
          <t>https://twosidesna.org/wp-content/uploads/sites/16/2018/05/Printing_and_Writing_Papers_-_Life-Cycle_Assessment_Summary_Report.pdf</t>
        </is>
      </c>
    </row>
    <row r="11">
      <c r="A11" s="4" t="inlineStr">
        <is>
          <t>纸种（报告分类）</t>
        </is>
      </c>
      <c r="B11" s="4" t="inlineStr">
        <is>
          <t>GWP（kg CO2 eq / bone-dry short ton）</t>
        </is>
      </c>
      <c r="C11" s="4" t="inlineStr">
        <is>
          <t>换算</t>
        </is>
      </c>
      <c r="D11" s="4" t="inlineStr">
        <is>
          <t>短吨(kg)</t>
        </is>
      </c>
      <c r="E11" s="4" t="inlineStr">
        <is>
          <t>折算后因子(kgCO2e/kg)</t>
        </is>
      </c>
      <c r="F11" s="4" t="inlineStr">
        <is>
          <t>备注</t>
        </is>
      </c>
      <c r="G11" s="4" t="inlineStr">
        <is>
          <t>适用映射</t>
        </is>
      </c>
    </row>
    <row r="12">
      <c r="A12" s="5" t="inlineStr">
        <is>
          <t>Uncoated Free</t>
        </is>
      </c>
      <c r="B12" s="6" t="n">
        <v>1194</v>
      </c>
      <c r="C12" s="5" t="inlineStr">
        <is>
          <t>GWP/short_ton_kg</t>
        </is>
      </c>
      <c r="D12" s="7" t="n">
        <v>907.18474</v>
      </c>
      <c r="E12" s="8">
        <f>B12/D12</f>
        <v/>
      </c>
      <c r="F12" s="9" t="inlineStr">
        <is>
          <t>报告给出cradle-to-gate industry average</t>
        </is>
      </c>
      <c r="G12" s="9" t="inlineStr">
        <is>
          <t>对照：非涂布自由纸</t>
        </is>
      </c>
    </row>
    <row r="13">
      <c r="A13" s="5" t="inlineStr">
        <is>
          <t>Coated Free</t>
        </is>
      </c>
      <c r="B13" s="6" t="n">
        <v>1469</v>
      </c>
      <c r="C13" s="5" t="inlineStr">
        <is>
          <t>GWP/short_ton_kg</t>
        </is>
      </c>
      <c r="D13" s="7" t="n">
        <v>907.18474</v>
      </c>
      <c r="E13" s="8">
        <f>B13/D13</f>
        <v/>
      </c>
      <c r="F13" s="9" t="inlineStr">
        <is>
          <t>报告给出cradle-to-gate industry average</t>
        </is>
      </c>
      <c r="G13" s="9" t="inlineStr">
        <is>
          <t>近似：涂布不含磨木浆纸(CWF)/铜版纸</t>
        </is>
      </c>
    </row>
    <row r="14">
      <c r="A14" s="5" t="inlineStr">
        <is>
          <t>Uncoated Mechanical</t>
        </is>
      </c>
      <c r="B14" s="6" t="n">
        <v>1176</v>
      </c>
      <c r="C14" s="5" t="inlineStr">
        <is>
          <t>GWP/short_ton_kg</t>
        </is>
      </c>
      <c r="D14" s="7" t="n">
        <v>907.18474</v>
      </c>
      <c r="E14" s="8">
        <f>B14/D14</f>
        <v/>
      </c>
      <c r="F14" s="9" t="inlineStr"/>
      <c r="G14" s="9" t="inlineStr">
        <is>
          <t>对照：非涂布机械纸</t>
        </is>
      </c>
    </row>
    <row r="15">
      <c r="A15" s="5" t="inlineStr">
        <is>
          <t>Coated Mechanical</t>
        </is>
      </c>
      <c r="B15" s="6" t="n">
        <v>1393</v>
      </c>
      <c r="C15" s="5" t="inlineStr">
        <is>
          <t>GWP/short_ton_kg</t>
        </is>
      </c>
      <c r="D15" s="7" t="n">
        <v>907.18474</v>
      </c>
      <c r="E15" s="8">
        <f>B15/D15</f>
        <v/>
      </c>
      <c r="F15" s="9" t="inlineStr"/>
      <c r="G15" s="9" t="inlineStr">
        <is>
          <t>对照：涂布机械纸</t>
        </is>
      </c>
    </row>
    <row r="17">
      <c r="A17" s="2" t="inlineStr">
        <is>
          <t>推荐候选（对应铜版纸/CWF）：Coated Free 折算因子</t>
        </is>
      </c>
      <c r="E17" s="10">
        <f>E13</f>
        <v/>
      </c>
      <c r="F17" s="11" t="n"/>
      <c r="G17" s="12" t="n"/>
    </row>
    <row r="19">
      <c r="A19" s="2" t="inlineStr">
        <is>
          <t>证据源2：BioResources (Tomberlin et al., 2020)（US 252 mills, cradle-to-gate）</t>
        </is>
      </c>
    </row>
    <row r="20">
      <c r="A20" s="3" t="inlineStr">
        <is>
          <t>https://bioresources.cnr.ncsu.edu/wp-content/uploads/2020/04/BioRes_15_2_3899_Tomberlin_VY_Life_Cycle_C_Footprint_Pulp_Paper_Grades_US_Prodn_16450.pdf</t>
        </is>
      </c>
    </row>
    <row r="22">
      <c r="A22" s="4" t="inlineStr">
        <is>
          <t>指标</t>
        </is>
      </c>
      <c r="B22" s="4" t="inlineStr">
        <is>
          <t>原文数值（kg CO2eq / metric ton）</t>
        </is>
      </c>
      <c r="C22" s="4" t="inlineStr">
        <is>
          <t>折算后因子(kgCO2e/kg)</t>
        </is>
      </c>
      <c r="D22" s="4" t="inlineStr">
        <is>
          <t>适用范围</t>
        </is>
      </c>
      <c r="E22" s="4" t="inlineStr">
        <is>
          <t>备注</t>
        </is>
      </c>
      <c r="F22" s="4" t="inlineStr"/>
      <c r="G22" s="12" t="n"/>
    </row>
    <row r="23">
      <c r="A23" s="9" t="inlineStr">
        <is>
          <t>生产加权平均（跨纸种）</t>
        </is>
      </c>
      <c r="B23" s="5" t="n">
        <v>942</v>
      </c>
      <c r="C23" s="8">
        <f>B23/1000</f>
        <v/>
      </c>
      <c r="D23" s="9" t="inlineStr">
        <is>
          <t>US总体（跨纸种）</t>
        </is>
      </c>
      <c r="E23" s="9" t="inlineStr">
        <is>
          <t>用于量级对照；非专指涂布纸</t>
        </is>
      </c>
      <c r="F23" s="13" t="inlineStr"/>
      <c r="G23" s="12" t="n"/>
    </row>
    <row r="24">
      <c r="A24" s="9" t="inlineStr">
        <is>
          <t>纸种间范围（最小-最大）</t>
        </is>
      </c>
      <c r="B24" s="5" t="inlineStr">
        <is>
          <t>608–1978</t>
        </is>
      </c>
      <c r="C24" s="5" t="inlineStr">
        <is>
          <t>0.608–1.978（由metric ton换算）</t>
        </is>
      </c>
      <c r="D24" s="9" t="inlineStr">
        <is>
          <t>US总体（跨纸种）</t>
        </is>
      </c>
      <c r="E24" s="9" t="inlineStr">
        <is>
          <t>原文给出范围</t>
        </is>
      </c>
      <c r="F24" s="13" t="inlineStr"/>
      <c r="G24" s="12" t="n"/>
    </row>
    <row r="26">
      <c r="A26" s="2" t="inlineStr">
        <is>
          <t>证据源3：Vos &amp; Newell (2009)（CO2 only，embedded energy in manufacturing, per finished metric ton）</t>
        </is>
      </c>
    </row>
    <row r="27">
      <c r="A27" s="3" t="inlineStr">
        <is>
          <t>https://urbansustainability.seas.umich.edu/wp-content/uploads/2014/08/2009_Vos-and-Newell_A-Comparative-Analysis-of-Carbon-Dioxide-Emissions-in-Coated-Paper-Production.pdf</t>
        </is>
      </c>
    </row>
    <row r="29">
      <c r="A29" s="4" t="inlineStr">
        <is>
          <t>供应链/地区</t>
        </is>
      </c>
      <c r="B29" s="4" t="inlineStr">
        <is>
          <t>原文数值（kg CO2 / FMT）</t>
        </is>
      </c>
      <c r="C29" s="4" t="inlineStr">
        <is>
          <t>折算后(kgCO2/kg)</t>
        </is>
      </c>
      <c r="D29" s="4" t="inlineStr">
        <is>
          <t>口径限制</t>
        </is>
      </c>
      <c r="E29" s="4" t="inlineStr">
        <is>
          <t>备注</t>
        </is>
      </c>
      <c r="F29" s="4" t="inlineStr"/>
      <c r="G29" s="12" t="n"/>
    </row>
    <row r="30">
      <c r="A30" s="9" t="inlineStr">
        <is>
          <t>U.S. (NewPage)</t>
        </is>
      </c>
      <c r="B30" s="5" t="n">
        <v>1432</v>
      </c>
      <c r="C30" s="8">
        <f>B30/1000</f>
        <v/>
      </c>
      <c r="D30" s="9" t="inlineStr">
        <is>
          <t>仅CO2；仅制造嵌入能源；不含化学品/涂料等</t>
        </is>
      </c>
      <c r="E30" s="9" t="inlineStr">
        <is>
          <t>可用于‘中国 vs 美国’能碳强度差异论证</t>
        </is>
      </c>
      <c r="F30" s="13" t="inlineStr"/>
      <c r="G30" s="12" t="n"/>
    </row>
    <row r="31">
      <c r="A31" s="9" t="inlineStr">
        <is>
          <t>China industry</t>
        </is>
      </c>
      <c r="B31" s="5" t="n">
        <v>2478</v>
      </c>
      <c r="C31" s="8">
        <f>B31/1000</f>
        <v/>
      </c>
      <c r="D31" s="9" t="inlineStr">
        <is>
          <t>同上</t>
        </is>
      </c>
      <c r="E31" s="9" t="inlineStr">
        <is>
          <t>历史研究（2009），需注明时效性</t>
        </is>
      </c>
      <c r="F31" s="13" t="inlineStr"/>
      <c r="G31" s="12" t="n"/>
    </row>
    <row r="34">
      <c r="A34" s="2" t="inlineStr">
        <is>
          <t>将纸张因子应用到本研究功能单位（仅纸张项，kgCO2e/1000张）</t>
        </is>
      </c>
    </row>
    <row r="36">
      <c r="A36" s="4" t="inlineStr">
        <is>
          <t>工艺</t>
        </is>
      </c>
      <c r="B36" s="4" t="inlineStr">
        <is>
          <t>纸张消耗(kg/1000张)</t>
        </is>
      </c>
      <c r="C36" s="4" t="inlineStr">
        <is>
          <t>使用因子（1.29）纸张排放</t>
        </is>
      </c>
      <c r="D36" s="4" t="inlineStr">
        <is>
          <t>使用因子（1.49）纸张排放</t>
        </is>
      </c>
      <c r="E36" s="4" t="inlineStr">
        <is>
          <t>使用因子（TwoSides CWF 1.619）纸张排放</t>
        </is>
      </c>
      <c r="F36" s="4" t="inlineStr">
        <is>
          <t>备注</t>
        </is>
      </c>
      <c r="G36" s="4" t="inlineStr"/>
    </row>
    <row r="37">
      <c r="A37" s="5" t="inlineStr">
        <is>
          <t>数字印刷</t>
        </is>
      </c>
      <c r="B37" s="14">
        <f>02_活动数据输入!D6</f>
        <v/>
      </c>
      <c r="C37" s="14">
        <f>B37*'03_排放因子库'!$B$7</f>
        <v/>
      </c>
      <c r="D37" s="14">
        <f>B37*'03_排放因子库'!$B$8</f>
        <v/>
      </c>
      <c r="E37" s="14">
        <f>B37*E13</f>
        <v/>
      </c>
      <c r="F37" s="9" t="inlineStr">
        <is>
          <t>TwoSides=Coated Free(涂布自由纸)因子</t>
        </is>
      </c>
      <c r="G37" s="13" t="inlineStr"/>
    </row>
    <row r="38">
      <c r="A38" s="5" t="inlineStr">
        <is>
          <t>胶印</t>
        </is>
      </c>
      <c r="B38" s="14">
        <f>02_活动数据输入!D7</f>
        <v/>
      </c>
      <c r="C38" s="14">
        <f>B38*'03_排放因子库'!$B$7</f>
        <v/>
      </c>
      <c r="D38" s="14">
        <f>B38*'03_排放因子库'!$B$8</f>
        <v/>
      </c>
      <c r="E38" s="14">
        <f>B38*E13</f>
        <v/>
      </c>
      <c r="F38" s="9" t="inlineStr">
        <is>
          <t>TwoSides=Coated Free(涂布自由纸)因子</t>
        </is>
      </c>
      <c r="G38" s="13" t="inlineStr"/>
    </row>
  </sheetData>
  <mergeCells count="21">
    <mergeCell ref="A17:D17"/>
    <mergeCell ref="F29:G29"/>
    <mergeCell ref="A8:G8"/>
    <mergeCell ref="A20:G20"/>
    <mergeCell ref="A19:G19"/>
    <mergeCell ref="F24:G24"/>
    <mergeCell ref="A4:G6"/>
    <mergeCell ref="A9:G9"/>
    <mergeCell ref="F30:G30"/>
    <mergeCell ref="A34:G34"/>
    <mergeCell ref="G36"/>
    <mergeCell ref="A1:G1"/>
    <mergeCell ref="F23:G23"/>
    <mergeCell ref="F31:G31"/>
    <mergeCell ref="F22:G22"/>
    <mergeCell ref="G38"/>
    <mergeCell ref="G37"/>
    <mergeCell ref="A27:G27"/>
    <mergeCell ref="A3:G3"/>
    <mergeCell ref="A26:G26"/>
    <mergeCell ref="E17:G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MASTER版本：MASTER_r18</t>
        </is>
      </c>
      <c r="B1" t="inlineStr">
        <is>
          <t>MASTER_r17</t>
        </is>
      </c>
    </row>
    <row r="2">
      <c r="A2" t="inlineStr">
        <is>
          <t>基于：碳足迹核算模型_MASTER_r17.xlsx</t>
        </is>
      </c>
      <c r="B2" t="inlineStr">
        <is>
          <t>碳足迹核算模型_MASTER_r16.xlsx</t>
        </is>
      </c>
    </row>
    <row r="3">
      <c r="A3" t="inlineStr">
        <is>
          <t>变更：固化05_结果汇总主线结果为数值（8.15/9.63/1.49；双面等价16.30/19.27/2.97），移除结果页“数据未完成”提示；统一提交口径。</t>
        </is>
      </c>
      <c r="B3" t="inlineStr">
        <is>
          <t>升级：主线情景预设并写死（估算+VTT占位）；关键结果区预计算写入（避免未重算显示为空）；新增电耗三档口径对照区供答辩讨论。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2026-03-03T06:25:31Z</dcterms:created>
  <dcterms:modified xmlns:dcterms="http://purl.org/dc/terms/" xmlns:xsi="http://www.w3.org/2001/XMLSchema-instance" xsi:type="dcterms:W3CDTF">2026-03-03T09:10:46Z</dcterms:modified>
</cp:coreProperties>
</file>